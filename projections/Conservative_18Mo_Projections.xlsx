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ucson Projections" sheetId="2" state="visible" r:id="rId2"/>
    <sheet name="Denver Projections" sheetId="3" state="visible" r:id="rId3"/>
    <sheet name="Combined Summary" sheetId="4" state="visible" r:id="rId4"/>
    <sheet name="Sensitiviti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"/>
    <numFmt numFmtId="166" formatCode="0.0&quot;x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4" borderId="1" pivotButton="0" quotePrefix="0" xfId="0"/>
    <xf numFmtId="165" fontId="2" fillId="4" borderId="1" pivotButton="0" quotePrefix="0" xfId="0"/>
    <xf numFmtId="164" fontId="2" fillId="4" borderId="1" pivotButton="0" quotePrefix="0" xfId="0"/>
    <xf numFmtId="166" fontId="2" fillId="4" borderId="1" pivotButton="0" quotePrefix="0" xfId="0"/>
    <xf numFmtId="0" fontId="3" fillId="5" borderId="1" pivotButton="0" quotePrefix="0" xfId="0"/>
    <xf numFmtId="165" fontId="3" fillId="5" borderId="1" pivotButton="0" quotePrefix="0" xfId="0"/>
    <xf numFmtId="164" fontId="3" fillId="5" borderId="1" pivotButton="0" quotePrefix="0" xfId="0"/>
    <xf numFmtId="166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35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GENERAL</t>
        </is>
      </c>
      <c r="B2" s="2" t="inlineStr"/>
      <c r="C2" s="2" t="inlineStr"/>
      <c r="D2" s="2" t="inlineStr"/>
      <c r="E2" s="2" t="n"/>
    </row>
    <row r="3">
      <c r="A3" s="3" t="inlineStr">
        <is>
          <t>General</t>
        </is>
      </c>
      <c r="B3" s="3" t="inlineStr">
        <is>
          <t>Monthly Management Fee (Both Locations)</t>
        </is>
      </c>
      <c r="C3" s="4" t="n">
        <v>5500</v>
      </c>
      <c r="D3" s="3" t="inlineStr">
        <is>
          <t>Split 50/50 between locations</t>
        </is>
      </c>
      <c r="E3" s="3" t="n"/>
    </row>
    <row r="4">
      <c r="A4" s="3" t="inlineStr">
        <is>
          <t>General</t>
        </is>
      </c>
      <c r="B4" s="3" t="inlineStr">
        <is>
          <t>Qualified Lead % (of all calls)</t>
        </is>
      </c>
      <c r="C4" s="5" t="n">
        <v>0.5</v>
      </c>
      <c r="D4" s="3" t="inlineStr">
        <is>
          <t>50% of calls are qualified</t>
        </is>
      </c>
      <c r="E4" s="3" t="n"/>
    </row>
    <row r="5">
      <c r="A5" s="3" t="inlineStr">
        <is>
          <t>General</t>
        </is>
      </c>
      <c r="B5" s="3" t="inlineStr">
        <is>
          <t>Closing Rate (Qualified → Job)</t>
        </is>
      </c>
      <c r="C5" s="3" t="n">
        <v>0.5</v>
      </c>
      <c r="D5" s="3" t="inlineStr">
        <is>
          <t>50% of qualified leads close</t>
        </is>
      </c>
      <c r="E5" s="3" t="n"/>
    </row>
    <row r="6">
      <c r="A6" s="3" t="inlineStr"/>
      <c r="B6" s="3" t="inlineStr"/>
      <c r="C6" s="3" t="inlineStr"/>
      <c r="D6" s="3" t="inlineStr"/>
      <c r="E6" s="3" t="n"/>
    </row>
    <row r="7">
      <c r="A7" s="2" t="inlineStr">
        <is>
          <t>TUCSON MARKET</t>
        </is>
      </c>
      <c r="B7" s="2" t="inlineStr"/>
      <c r="C7" s="2" t="inlineStr"/>
      <c r="D7" s="2" t="inlineStr"/>
      <c r="E7" s="2" t="n"/>
    </row>
    <row r="8">
      <c r="A8" s="3" t="inlineStr">
        <is>
          <t>Tucson - Capacity</t>
        </is>
      </c>
      <c r="B8" s="3" t="inlineStr">
        <is>
          <t>Max Monthly Website Leads</t>
        </is>
      </c>
      <c r="C8" s="3" t="n">
        <v>20</v>
      </c>
      <c r="D8" s="3" t="inlineStr">
        <is>
          <t>At 18-month maturity</t>
        </is>
      </c>
      <c r="E8" s="3" t="n"/>
    </row>
    <row r="9">
      <c r="A9" s="3" t="inlineStr">
        <is>
          <t>Tucson - Capacity</t>
        </is>
      </c>
      <c r="B9" s="3" t="inlineStr">
        <is>
          <t>Max Monthly PPC Leads</t>
        </is>
      </c>
      <c r="C9" s="3" t="n">
        <v>15</v>
      </c>
      <c r="D9" s="3" t="inlineStr">
        <is>
          <t>At full scale</t>
        </is>
      </c>
      <c r="E9" s="3" t="n"/>
    </row>
    <row r="10">
      <c r="A10" s="3" t="inlineStr">
        <is>
          <t>Tucson - Capacity</t>
        </is>
      </c>
      <c r="B10" s="3" t="inlineStr">
        <is>
          <t>Max Monthly GBP Leads</t>
        </is>
      </c>
      <c r="C10" s="3" t="n">
        <v>30</v>
      </c>
      <c r="D10" s="3" t="inlineStr">
        <is>
          <t>At 12-month maturity</t>
        </is>
      </c>
      <c r="E10" s="3" t="n"/>
    </row>
    <row r="11">
      <c r="A11" s="3" t="inlineStr">
        <is>
          <t>Tucson - Costs</t>
        </is>
      </c>
      <c r="B11" s="3" t="inlineStr">
        <is>
          <t>Cost Per Lead (PPC)</t>
        </is>
      </c>
      <c r="C11" s="4" t="n">
        <v>700</v>
      </c>
      <c r="D11" s="3" t="inlineStr">
        <is>
          <t>Average CPL for water damage</t>
        </is>
      </c>
      <c r="E11" s="3" t="n"/>
    </row>
    <row r="12">
      <c r="A12" s="3" t="inlineStr">
        <is>
          <t>Tucson - Revenue</t>
        </is>
      </c>
      <c r="B12" s="3" t="inlineStr">
        <is>
          <t>Mitigation Average</t>
        </is>
      </c>
      <c r="C12" s="4" t="n">
        <v>4589</v>
      </c>
      <c r="D12" s="3" t="inlineStr">
        <is>
          <t>Average mitigation job size</t>
        </is>
      </c>
      <c r="E12" s="3" t="n"/>
    </row>
    <row r="13">
      <c r="A13" s="3" t="inlineStr">
        <is>
          <t>Tucson - Revenue</t>
        </is>
      </c>
      <c r="B13" s="3" t="inlineStr">
        <is>
          <t>Abatement Average</t>
        </is>
      </c>
      <c r="C13" s="4" t="n">
        <v>7484</v>
      </c>
      <c r="D13" s="3" t="inlineStr">
        <is>
          <t>Average abatement job size</t>
        </is>
      </c>
      <c r="E13" s="3" t="n"/>
    </row>
    <row r="14">
      <c r="A14" s="3" t="inlineStr">
        <is>
          <t>Tucson - Revenue</t>
        </is>
      </c>
      <c r="B14" s="3" t="inlineStr">
        <is>
          <t>Abatement Conversion %</t>
        </is>
      </c>
      <c r="C14" s="5" t="n">
        <v>0.3</v>
      </c>
      <c r="D14" s="3" t="inlineStr">
        <is>
          <t>% of mit jobs → abate</t>
        </is>
      </c>
      <c r="E14" s="3" t="n"/>
    </row>
    <row r="15">
      <c r="A15" s="3" t="inlineStr">
        <is>
          <t>Tucson - Revenue</t>
        </is>
      </c>
      <c r="B15" s="3" t="inlineStr">
        <is>
          <t>Reconstruction Conversion %</t>
        </is>
      </c>
      <c r="C15" s="5" t="n">
        <v>0.55</v>
      </c>
      <c r="D15" s="3" t="inlineStr">
        <is>
          <t>% of mit jobs → recon</t>
        </is>
      </c>
      <c r="E15" s="3" t="n"/>
    </row>
    <row r="16">
      <c r="A16" s="3" t="inlineStr">
        <is>
          <t>Tucson - Revenue</t>
        </is>
      </c>
      <c r="B16" s="3" t="inlineStr">
        <is>
          <t>Reconstruction Average</t>
        </is>
      </c>
      <c r="C16" s="4" t="n">
        <v>7452</v>
      </c>
      <c r="D16" s="3" t="inlineStr">
        <is>
          <t>Average recon job size</t>
        </is>
      </c>
      <c r="E16" s="3" t="n"/>
    </row>
    <row r="17">
      <c r="A17" s="3" t="inlineStr">
        <is>
          <t>Tucson - Revenue</t>
        </is>
      </c>
      <c r="B17" s="3" t="inlineStr">
        <is>
          <t>Lifetime Value (LTV) Per Job</t>
        </is>
      </c>
      <c r="C17" s="4" t="n">
        <v>10933</v>
      </c>
      <c r="D17" s="3">
        <f>Mit + (Abate% × Abate$) + (Recon% × Recon$)</f>
        <v/>
      </c>
      <c r="E17" s="3" t="n"/>
    </row>
    <row r="18">
      <c r="A18" s="3" t="inlineStr"/>
      <c r="B18" s="3" t="inlineStr"/>
      <c r="C18" s="3" t="inlineStr"/>
      <c r="D18" s="3" t="inlineStr"/>
      <c r="E18" s="3" t="n"/>
    </row>
    <row r="19">
      <c r="A19" s="2" t="inlineStr">
        <is>
          <t>DENVER MARKET</t>
        </is>
      </c>
      <c r="B19" s="2" t="inlineStr"/>
      <c r="C19" s="2" t="inlineStr"/>
      <c r="D19" s="2" t="inlineStr"/>
      <c r="E19" s="2" t="n"/>
    </row>
    <row r="20">
      <c r="A20" s="3" t="inlineStr">
        <is>
          <t>Denver - Capacity</t>
        </is>
      </c>
      <c r="B20" s="3" t="inlineStr">
        <is>
          <t>Max Monthly Website Leads</t>
        </is>
      </c>
      <c r="C20" s="3" t="n">
        <v>35</v>
      </c>
      <c r="D20" s="3" t="inlineStr">
        <is>
          <t>At 18-month maturity</t>
        </is>
      </c>
      <c r="E20" s="3" t="n"/>
    </row>
    <row r="21">
      <c r="A21" s="3" t="inlineStr">
        <is>
          <t>Denver - Capacity</t>
        </is>
      </c>
      <c r="B21" s="3" t="inlineStr">
        <is>
          <t>Max Monthly PPC Leads</t>
        </is>
      </c>
      <c r="C21" s="3" t="n">
        <v>30</v>
      </c>
      <c r="D21" s="3" t="inlineStr">
        <is>
          <t>At full scale</t>
        </is>
      </c>
      <c r="E21" s="3" t="n"/>
    </row>
    <row r="22">
      <c r="A22" s="3" t="inlineStr">
        <is>
          <t>Denver - Capacity</t>
        </is>
      </c>
      <c r="B22" s="3" t="inlineStr">
        <is>
          <t>Max Monthly GBP Leads</t>
        </is>
      </c>
      <c r="C22" s="3" t="n">
        <v>50</v>
      </c>
      <c r="D22" s="3" t="inlineStr">
        <is>
          <t>At 12-month maturity</t>
        </is>
      </c>
      <c r="E22" s="3" t="n"/>
    </row>
    <row r="23">
      <c r="A23" s="3" t="inlineStr">
        <is>
          <t>Denver - Costs</t>
        </is>
      </c>
      <c r="B23" s="3" t="inlineStr">
        <is>
          <t>Cost Per Lead (PPC)</t>
        </is>
      </c>
      <c r="C23" s="4" t="n">
        <v>800</v>
      </c>
      <c r="D23" s="3" t="inlineStr">
        <is>
          <t>Average CPL for water damage</t>
        </is>
      </c>
      <c r="E23" s="3" t="n"/>
    </row>
    <row r="24">
      <c r="A24" s="3" t="inlineStr">
        <is>
          <t>Denver - Revenue</t>
        </is>
      </c>
      <c r="B24" s="3" t="inlineStr">
        <is>
          <t>Mitigation Average</t>
        </is>
      </c>
      <c r="C24" s="4" t="n">
        <v>6100</v>
      </c>
      <c r="D24" s="3" t="inlineStr">
        <is>
          <t>Average mitigation job size</t>
        </is>
      </c>
      <c r="E24" s="3" t="n"/>
    </row>
    <row r="25">
      <c r="A25" s="3" t="inlineStr">
        <is>
          <t>Denver - Revenue</t>
        </is>
      </c>
      <c r="B25" s="3" t="inlineStr">
        <is>
          <t>Recon Referral Fee</t>
        </is>
      </c>
      <c r="C25" s="4" t="n">
        <v>0</v>
      </c>
      <c r="D25" s="3" t="inlineStr">
        <is>
          <t>Refer out, no direct revenue</t>
        </is>
      </c>
      <c r="E25" s="3" t="n"/>
    </row>
    <row r="26">
      <c r="A26" s="3" t="inlineStr">
        <is>
          <t>Denver - Revenue</t>
        </is>
      </c>
      <c r="B26" s="3" t="inlineStr">
        <is>
          <t>Lifetime Value (LTV) Per Job</t>
        </is>
      </c>
      <c r="C26" s="4" t="n">
        <v>6100</v>
      </c>
      <c r="D26" s="3">
        <f>Mit + Referral Fee</f>
        <v/>
      </c>
      <c r="E26" s="3" t="n"/>
    </row>
    <row r="27">
      <c r="A27" s="3" t="inlineStr"/>
      <c r="B27" s="3" t="inlineStr"/>
      <c r="C27" s="3" t="inlineStr"/>
      <c r="D27" s="3" t="inlineStr"/>
      <c r="E27" s="3" t="n"/>
    </row>
    <row r="28">
      <c r="A28" s="2" t="inlineStr">
        <is>
          <t>RAMP SCHEDULES</t>
        </is>
      </c>
      <c r="B28" s="2" t="inlineStr">
        <is>
          <t>Quarter</t>
        </is>
      </c>
      <c r="C28" s="2" t="inlineStr">
        <is>
          <t>Ads %</t>
        </is>
      </c>
      <c r="D28" s="2" t="inlineStr">
        <is>
          <t>GBP %</t>
        </is>
      </c>
      <c r="E28" s="2" t="inlineStr">
        <is>
          <t>Website %</t>
        </is>
      </c>
    </row>
    <row r="29">
      <c r="A29" s="3" t="inlineStr">
        <is>
          <t>Ramp</t>
        </is>
      </c>
      <c r="B29" s="3" t="inlineStr">
        <is>
          <t>Q1</t>
        </is>
      </c>
      <c r="C29" s="3" t="n">
        <v>0.5</v>
      </c>
      <c r="D29" s="3" t="n">
        <v>0.25</v>
      </c>
      <c r="E29" s="3" t="n">
        <v>0</v>
      </c>
    </row>
    <row r="30">
      <c r="A30" s="3" t="inlineStr">
        <is>
          <t>Ramp</t>
        </is>
      </c>
      <c r="B30" s="3" t="inlineStr">
        <is>
          <t>Q2</t>
        </is>
      </c>
      <c r="C30" s="3" t="n">
        <v>1</v>
      </c>
      <c r="D30" s="3" t="n">
        <v>0.5</v>
      </c>
      <c r="E30" s="3" t="n">
        <v>0</v>
      </c>
    </row>
    <row r="31">
      <c r="A31" s="3" t="inlineStr">
        <is>
          <t>Ramp</t>
        </is>
      </c>
      <c r="B31" s="3" t="inlineStr">
        <is>
          <t>Q3</t>
        </is>
      </c>
      <c r="C31" s="3" t="n">
        <v>1</v>
      </c>
      <c r="D31" s="3" t="n">
        <v>0.75</v>
      </c>
      <c r="E31" s="3" t="n">
        <v>0.1</v>
      </c>
    </row>
    <row r="32">
      <c r="A32" s="3" t="inlineStr">
        <is>
          <t>Ramp</t>
        </is>
      </c>
      <c r="B32" s="3" t="inlineStr">
        <is>
          <t>Q4</t>
        </is>
      </c>
      <c r="C32" s="3" t="n">
        <v>1</v>
      </c>
      <c r="D32" s="3" t="n">
        <v>1</v>
      </c>
      <c r="E32" s="3" t="n">
        <v>0.3</v>
      </c>
    </row>
    <row r="33">
      <c r="A33" s="3" t="inlineStr">
        <is>
          <t>Ramp</t>
        </is>
      </c>
      <c r="B33" s="3" t="inlineStr">
        <is>
          <t>Q5</t>
        </is>
      </c>
      <c r="C33" s="3" t="n">
        <v>1</v>
      </c>
      <c r="D33" s="3" t="n">
        <v>1</v>
      </c>
      <c r="E33" s="3" t="n">
        <v>0.6</v>
      </c>
    </row>
    <row r="34">
      <c r="A34" s="3" t="inlineStr">
        <is>
          <t>Ramp</t>
        </is>
      </c>
      <c r="B34" s="3" t="inlineStr">
        <is>
          <t>Q6</t>
        </is>
      </c>
      <c r="C34" s="3" t="n">
        <v>1</v>
      </c>
      <c r="D34" s="3" t="n">
        <v>1</v>
      </c>
      <c r="E34" s="3" t="n">
        <v>1</v>
      </c>
    </row>
    <row r="35">
      <c r="A35" s="3" t="inlineStr"/>
      <c r="B35" s="3" t="inlineStr"/>
      <c r="C35" s="3" t="inlineStr"/>
      <c r="D35" s="3" t="inlineStr"/>
      <c r="E35" s="3" t="inlineStr"/>
    </row>
    <row r="36">
      <c r="A36" s="2" t="inlineStr">
        <is>
          <t>NOTES</t>
        </is>
      </c>
      <c r="B36" s="2" t="inlineStr"/>
      <c r="C36" s="2" t="inlineStr"/>
      <c r="D36" s="2" t="inlineStr"/>
      <c r="E36" s="2" t="n"/>
    </row>
    <row r="37">
      <c r="A37" s="3" t="inlineStr"/>
      <c r="B37" s="3" t="inlineStr">
        <is>
          <t>Conservative Model</t>
        </is>
      </c>
      <c r="C37" s="3" t="inlineStr"/>
      <c r="D37" s="3" t="inlineStr">
        <is>
          <t>Slower ramps to avoid overpromising</t>
        </is>
      </c>
      <c r="E37" s="3" t="n"/>
    </row>
    <row r="38">
      <c r="A38" s="3" t="inlineStr"/>
      <c r="B38" s="3" t="inlineStr">
        <is>
          <t>Ads</t>
        </is>
      </c>
      <c r="C38" s="3" t="inlineStr"/>
      <c r="D38" s="3" t="inlineStr">
        <is>
          <t>50% in Q1 (testing), 100% by Q2 (90-day sprint)</t>
        </is>
      </c>
      <c r="E38" s="3" t="n"/>
    </row>
    <row r="39">
      <c r="A39" s="3" t="inlineStr"/>
      <c r="B39" s="3" t="inlineStr">
        <is>
          <t>GBP</t>
        </is>
      </c>
      <c r="C39" s="3" t="inlineStr"/>
      <c r="D39" s="3" t="inlineStr">
        <is>
          <t>Gradual 4-quarter ramp (typical 4-6 month results)</t>
        </is>
      </c>
      <c r="E39" s="3" t="n"/>
    </row>
    <row r="40">
      <c r="A40" s="3" t="inlineStr"/>
      <c r="B40" s="3" t="inlineStr">
        <is>
          <t>Website</t>
        </is>
      </c>
      <c r="C40" s="3" t="inlineStr"/>
      <c r="D40" s="3" t="inlineStr">
        <is>
          <t>Delayed start Q3, full maturity Q6 (12-18 months)</t>
        </is>
      </c>
      <c r="E4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12" customWidth="1" min="6" max="6"/>
    <col width="16" customWidth="1" min="7" max="7"/>
    <col width="12" customWidth="1" min="8" max="8"/>
    <col width="13" customWidth="1" min="9" max="9"/>
    <col width="12" customWidth="1" min="10" max="10"/>
    <col width="19" customWidth="1" min="11" max="11"/>
  </cols>
  <sheetData>
    <row r="1">
      <c r="A1" s="1" t="inlineStr">
        <is>
          <t>Quarter</t>
        </is>
      </c>
      <c r="B1" s="1" t="inlineStr">
        <is>
          <t>Website Leads</t>
        </is>
      </c>
      <c r="C1" s="1" t="inlineStr">
        <is>
          <t>PPC Leads</t>
        </is>
      </c>
      <c r="D1" s="1" t="inlineStr">
        <is>
          <t>GBP Leads</t>
        </is>
      </c>
      <c r="E1" s="1" t="inlineStr">
        <is>
          <t>Total Qualified Leads</t>
        </is>
      </c>
      <c r="F1" s="1" t="inlineStr">
        <is>
          <t>Ad Spend</t>
        </is>
      </c>
      <c r="G1" s="1" t="inlineStr">
        <is>
          <t>Mgmt Fee Share</t>
        </is>
      </c>
      <c r="H1" s="1" t="inlineStr">
        <is>
          <t>Total Cost</t>
        </is>
      </c>
      <c r="I1" s="1" t="inlineStr">
        <is>
          <t>Jobs Closed</t>
        </is>
      </c>
      <c r="J1" s="1" t="inlineStr">
        <is>
          <t>Revenue</t>
        </is>
      </c>
      <c r="K1" s="1" t="inlineStr">
        <is>
          <t>ROI</t>
        </is>
      </c>
    </row>
    <row r="2">
      <c r="A2" s="3" t="inlineStr">
        <is>
          <t>Q1</t>
        </is>
      </c>
      <c r="B2" s="6" t="n">
        <v>0</v>
      </c>
      <c r="C2" s="6" t="n">
        <v>11.2</v>
      </c>
      <c r="D2" s="6" t="n">
        <v>11.2</v>
      </c>
      <c r="E2" s="6" t="n">
        <v>22.5</v>
      </c>
      <c r="F2" s="4" t="n">
        <v>15750</v>
      </c>
      <c r="G2" s="4" t="n">
        <v>8250</v>
      </c>
      <c r="H2" s="4" t="n">
        <v>24000</v>
      </c>
      <c r="I2" s="6" t="n">
        <v>11.2</v>
      </c>
      <c r="J2" s="4" t="n">
        <v>122996</v>
      </c>
      <c r="K2" s="7" t="n">
        <v>5.1</v>
      </c>
    </row>
    <row r="3">
      <c r="A3" s="3" t="inlineStr">
        <is>
          <t>Q2</t>
        </is>
      </c>
      <c r="B3" s="6" t="n">
        <v>0</v>
      </c>
      <c r="C3" s="6" t="n">
        <v>22.5</v>
      </c>
      <c r="D3" s="6" t="n">
        <v>22.5</v>
      </c>
      <c r="E3" s="6" t="n">
        <v>45</v>
      </c>
      <c r="F3" s="4" t="n">
        <v>31500</v>
      </c>
      <c r="G3" s="4" t="n">
        <v>8250</v>
      </c>
      <c r="H3" s="4" t="n">
        <v>39750</v>
      </c>
      <c r="I3" s="6" t="n">
        <v>22.5</v>
      </c>
      <c r="J3" s="4" t="n">
        <v>245992</v>
      </c>
      <c r="K3" s="7" t="n">
        <v>6.2</v>
      </c>
    </row>
    <row r="4">
      <c r="A4" s="3" t="inlineStr">
        <is>
          <t>Q3</t>
        </is>
      </c>
      <c r="B4" s="6" t="n">
        <v>3</v>
      </c>
      <c r="C4" s="6" t="n">
        <v>22.5</v>
      </c>
      <c r="D4" s="6" t="n">
        <v>33.8</v>
      </c>
      <c r="E4" s="6" t="n">
        <v>59.2</v>
      </c>
      <c r="F4" s="4" t="n">
        <v>31500</v>
      </c>
      <c r="G4" s="4" t="n">
        <v>8250</v>
      </c>
      <c r="H4" s="4" t="n">
        <v>39750</v>
      </c>
      <c r="I4" s="6" t="n">
        <v>29.6</v>
      </c>
      <c r="J4" s="4" t="n">
        <v>323890</v>
      </c>
      <c r="K4" s="7" t="n">
        <v>8.1</v>
      </c>
    </row>
    <row r="5">
      <c r="A5" s="3" t="inlineStr">
        <is>
          <t>Q4</t>
        </is>
      </c>
      <c r="B5" s="6" t="n">
        <v>9</v>
      </c>
      <c r="C5" s="6" t="n">
        <v>22.5</v>
      </c>
      <c r="D5" s="6" t="n">
        <v>45</v>
      </c>
      <c r="E5" s="6" t="n">
        <v>76.5</v>
      </c>
      <c r="F5" s="4" t="n">
        <v>31500</v>
      </c>
      <c r="G5" s="4" t="n">
        <v>8250</v>
      </c>
      <c r="H5" s="4" t="n">
        <v>39750</v>
      </c>
      <c r="I5" s="6" t="n">
        <v>38.2</v>
      </c>
      <c r="J5" s="4" t="n">
        <v>418187</v>
      </c>
      <c r="K5" s="7" t="n">
        <v>10.5</v>
      </c>
    </row>
    <row r="6">
      <c r="A6" s="3" t="inlineStr">
        <is>
          <t>Q5</t>
        </is>
      </c>
      <c r="B6" s="6" t="n">
        <v>18</v>
      </c>
      <c r="C6" s="6" t="n">
        <v>22.5</v>
      </c>
      <c r="D6" s="6" t="n">
        <v>45</v>
      </c>
      <c r="E6" s="6" t="n">
        <v>85.5</v>
      </c>
      <c r="F6" s="4" t="n">
        <v>31500</v>
      </c>
      <c r="G6" s="4" t="n">
        <v>8250</v>
      </c>
      <c r="H6" s="4" t="n">
        <v>39750</v>
      </c>
      <c r="I6" s="6" t="n">
        <v>42.8</v>
      </c>
      <c r="J6" s="4" t="n">
        <v>467386</v>
      </c>
      <c r="K6" s="7" t="n">
        <v>11.8</v>
      </c>
    </row>
    <row r="7">
      <c r="A7" s="3" t="inlineStr">
        <is>
          <t>Q6</t>
        </is>
      </c>
      <c r="B7" s="6" t="n">
        <v>30</v>
      </c>
      <c r="C7" s="6" t="n">
        <v>22.5</v>
      </c>
      <c r="D7" s="6" t="n">
        <v>45</v>
      </c>
      <c r="E7" s="6" t="n">
        <v>97.5</v>
      </c>
      <c r="F7" s="4" t="n">
        <v>31500</v>
      </c>
      <c r="G7" s="4" t="n">
        <v>8250</v>
      </c>
      <c r="H7" s="4" t="n">
        <v>39750</v>
      </c>
      <c r="I7" s="6" t="n">
        <v>48.8</v>
      </c>
      <c r="J7" s="4" t="n">
        <v>532984</v>
      </c>
      <c r="K7" s="7" t="n">
        <v>13.4</v>
      </c>
    </row>
    <row r="8">
      <c r="A8" s="8" t="inlineStr">
        <is>
          <t>TOTAL</t>
        </is>
      </c>
      <c r="B8" s="9" t="n">
        <v>60</v>
      </c>
      <c r="C8" s="9" t="n">
        <v>123.7</v>
      </c>
      <c r="D8" s="9" t="n">
        <v>202.5</v>
      </c>
      <c r="E8" s="9" t="n">
        <v>386.2</v>
      </c>
      <c r="F8" s="10" t="n">
        <v>173250</v>
      </c>
      <c r="G8" s="10" t="n">
        <v>49500</v>
      </c>
      <c r="H8" s="10" t="n">
        <v>222750</v>
      </c>
      <c r="I8" s="9" t="n">
        <v>193.1</v>
      </c>
      <c r="J8" s="10" t="n">
        <v>2111435</v>
      </c>
      <c r="K8" s="11" t="n">
        <v>9.478945005611672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12" customWidth="1" min="6" max="6"/>
    <col width="16" customWidth="1" min="7" max="7"/>
    <col width="12" customWidth="1" min="8" max="8"/>
    <col width="20" customWidth="1" min="9" max="9"/>
    <col width="12" customWidth="1" min="10" max="10"/>
    <col width="19" customWidth="1" min="11" max="11"/>
  </cols>
  <sheetData>
    <row r="1">
      <c r="A1" s="1" t="inlineStr">
        <is>
          <t>Quarter</t>
        </is>
      </c>
      <c r="B1" s="1" t="inlineStr">
        <is>
          <t>Website Leads</t>
        </is>
      </c>
      <c r="C1" s="1" t="inlineStr">
        <is>
          <t>PPC Leads</t>
        </is>
      </c>
      <c r="D1" s="1" t="inlineStr">
        <is>
          <t>GBP Leads</t>
        </is>
      </c>
      <c r="E1" s="1" t="inlineStr">
        <is>
          <t>Total Qualified Leads</t>
        </is>
      </c>
      <c r="F1" s="1" t="inlineStr">
        <is>
          <t>Ad Spend</t>
        </is>
      </c>
      <c r="G1" s="1" t="inlineStr">
        <is>
          <t>Mgmt Fee Share</t>
        </is>
      </c>
      <c r="H1" s="1" t="inlineStr">
        <is>
          <t>Total Cost</t>
        </is>
      </c>
      <c r="I1" s="1" t="inlineStr">
        <is>
          <t>Jobs Closed</t>
        </is>
      </c>
      <c r="J1" s="1" t="inlineStr">
        <is>
          <t>Revenue</t>
        </is>
      </c>
      <c r="K1" s="1" t="inlineStr">
        <is>
          <t>ROI</t>
        </is>
      </c>
    </row>
    <row r="2">
      <c r="A2" s="3" t="inlineStr">
        <is>
          <t>Q1</t>
        </is>
      </c>
      <c r="B2" s="6" t="n">
        <v>0</v>
      </c>
      <c r="C2" s="6" t="n">
        <v>22.5</v>
      </c>
      <c r="D2" s="6" t="n">
        <v>18.8</v>
      </c>
      <c r="E2" s="6" t="n">
        <v>41.2</v>
      </c>
      <c r="F2" s="4" t="n">
        <v>36000</v>
      </c>
      <c r="G2" s="4" t="n">
        <v>8250</v>
      </c>
      <c r="H2" s="4" t="n">
        <v>44250</v>
      </c>
      <c r="I2" s="6" t="n">
        <v>20.6</v>
      </c>
      <c r="J2" s="4" t="n">
        <v>125812</v>
      </c>
      <c r="K2" s="7" t="n">
        <v>2.8</v>
      </c>
    </row>
    <row r="3">
      <c r="A3" s="3" t="inlineStr">
        <is>
          <t>Q2</t>
        </is>
      </c>
      <c r="B3" s="6" t="n">
        <v>0</v>
      </c>
      <c r="C3" s="6" t="n">
        <v>45</v>
      </c>
      <c r="D3" s="6" t="n">
        <v>37.5</v>
      </c>
      <c r="E3" s="6" t="n">
        <v>82.5</v>
      </c>
      <c r="F3" s="4" t="n">
        <v>72000</v>
      </c>
      <c r="G3" s="4" t="n">
        <v>8250</v>
      </c>
      <c r="H3" s="4" t="n">
        <v>80250</v>
      </c>
      <c r="I3" s="6" t="n">
        <v>41.2</v>
      </c>
      <c r="J3" s="4" t="n">
        <v>251625</v>
      </c>
      <c r="K3" s="7" t="n">
        <v>3.1</v>
      </c>
    </row>
    <row r="4">
      <c r="A4" s="3" t="inlineStr">
        <is>
          <t>Q3</t>
        </is>
      </c>
      <c r="B4" s="6" t="n">
        <v>5.2</v>
      </c>
      <c r="C4" s="6" t="n">
        <v>45</v>
      </c>
      <c r="D4" s="6" t="n">
        <v>56.2</v>
      </c>
      <c r="E4" s="6" t="n">
        <v>106.5</v>
      </c>
      <c r="F4" s="4" t="n">
        <v>72000</v>
      </c>
      <c r="G4" s="4" t="n">
        <v>8250</v>
      </c>
      <c r="H4" s="4" t="n">
        <v>80250</v>
      </c>
      <c r="I4" s="6" t="n">
        <v>53.2</v>
      </c>
      <c r="J4" s="4" t="n">
        <v>324825</v>
      </c>
      <c r="K4" s="7" t="n">
        <v>4</v>
      </c>
    </row>
    <row r="5">
      <c r="A5" s="3" t="inlineStr">
        <is>
          <t>Q4</t>
        </is>
      </c>
      <c r="B5" s="6" t="n">
        <v>15.8</v>
      </c>
      <c r="C5" s="6" t="n">
        <v>45</v>
      </c>
      <c r="D5" s="6" t="n">
        <v>75</v>
      </c>
      <c r="E5" s="6" t="n">
        <v>135.8</v>
      </c>
      <c r="F5" s="4" t="n">
        <v>72000</v>
      </c>
      <c r="G5" s="4" t="n">
        <v>8250</v>
      </c>
      <c r="H5" s="4" t="n">
        <v>80250</v>
      </c>
      <c r="I5" s="6" t="n">
        <v>67.90000000000001</v>
      </c>
      <c r="J5" s="4" t="n">
        <v>414038</v>
      </c>
      <c r="K5" s="7" t="n">
        <v>5.2</v>
      </c>
    </row>
    <row r="6">
      <c r="A6" s="3" t="inlineStr">
        <is>
          <t>Q5</t>
        </is>
      </c>
      <c r="B6" s="6" t="n">
        <v>31.5</v>
      </c>
      <c r="C6" s="6" t="n">
        <v>45</v>
      </c>
      <c r="D6" s="6" t="n">
        <v>75</v>
      </c>
      <c r="E6" s="6" t="n">
        <v>151.5</v>
      </c>
      <c r="F6" s="4" t="n">
        <v>72000</v>
      </c>
      <c r="G6" s="4" t="n">
        <v>8250</v>
      </c>
      <c r="H6" s="4" t="n">
        <v>80250</v>
      </c>
      <c r="I6" s="6" t="n">
        <v>75.8</v>
      </c>
      <c r="J6" s="4" t="n">
        <v>462075</v>
      </c>
      <c r="K6" s="7" t="n">
        <v>5.8</v>
      </c>
    </row>
    <row r="7">
      <c r="A7" s="3" t="inlineStr">
        <is>
          <t>Q6</t>
        </is>
      </c>
      <c r="B7" s="6" t="n">
        <v>52.5</v>
      </c>
      <c r="C7" s="6" t="n">
        <v>45</v>
      </c>
      <c r="D7" s="6" t="n">
        <v>75</v>
      </c>
      <c r="E7" s="6" t="n">
        <v>172.5</v>
      </c>
      <c r="F7" s="4" t="n">
        <v>72000</v>
      </c>
      <c r="G7" s="4" t="n">
        <v>8250</v>
      </c>
      <c r="H7" s="4" t="n">
        <v>80250</v>
      </c>
      <c r="I7" s="6" t="n">
        <v>86.2</v>
      </c>
      <c r="J7" s="4" t="n">
        <v>526125</v>
      </c>
      <c r="K7" s="7" t="n">
        <v>6.6</v>
      </c>
    </row>
    <row r="8">
      <c r="A8" s="8" t="inlineStr">
        <is>
          <t>TOTAL</t>
        </is>
      </c>
      <c r="B8" s="9" t="n">
        <v>105</v>
      </c>
      <c r="C8" s="9" t="n">
        <v>247.5</v>
      </c>
      <c r="D8" s="9" t="n">
        <v>337.5</v>
      </c>
      <c r="E8" s="9" t="n">
        <v>690</v>
      </c>
      <c r="F8" s="10" t="n">
        <v>396000</v>
      </c>
      <c r="G8" s="10" t="n">
        <v>49500</v>
      </c>
      <c r="H8" s="10" t="n">
        <v>445500</v>
      </c>
      <c r="I8" s="9" t="n">
        <v>344.9</v>
      </c>
      <c r="J8" s="10" t="n">
        <v>2104500</v>
      </c>
      <c r="K8" s="11" t="n">
        <v>4.723905723905724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7" customWidth="1" min="4" max="4"/>
    <col width="18" customWidth="1" min="5" max="5"/>
    <col width="12" customWidth="1" min="6" max="6"/>
    <col width="15" customWidth="1" min="7" max="7"/>
    <col width="19" customWidth="1" min="8" max="8"/>
    <col width="23" customWidth="1" min="9" max="9"/>
  </cols>
  <sheetData>
    <row r="1">
      <c r="A1" s="1" t="inlineStr">
        <is>
          <t>Quarter</t>
        </is>
      </c>
      <c r="B1" s="1" t="inlineStr">
        <is>
          <t>Total Qualified Leads</t>
        </is>
      </c>
      <c r="C1" s="1" t="inlineStr">
        <is>
          <t>Total Ad Spend</t>
        </is>
      </c>
      <c r="D1" s="1" t="inlineStr">
        <is>
          <t>Total Mgmt Fees</t>
        </is>
      </c>
      <c r="E1" s="1" t="inlineStr">
        <is>
          <t>Total Investment</t>
        </is>
      </c>
      <c r="F1" s="1" t="inlineStr">
        <is>
          <t>Total Jobs</t>
        </is>
      </c>
      <c r="G1" s="1" t="inlineStr">
        <is>
          <t>Total Revenue</t>
        </is>
      </c>
      <c r="H1" s="1" t="inlineStr">
        <is>
          <t>Combined ROI</t>
        </is>
      </c>
      <c r="I1" s="1" t="inlineStr">
        <is>
          <t>Monthly Revenue (Avg)</t>
        </is>
      </c>
    </row>
    <row r="2">
      <c r="A2" s="3" t="inlineStr">
        <is>
          <t>Q1</t>
        </is>
      </c>
      <c r="B2" s="6" t="n">
        <v>63.7</v>
      </c>
      <c r="C2" s="4" t="n">
        <v>51750</v>
      </c>
      <c r="D2" s="4" t="n">
        <v>16500</v>
      </c>
      <c r="E2" s="4" t="n">
        <v>68250</v>
      </c>
      <c r="F2" s="6" t="n">
        <v>31.8</v>
      </c>
      <c r="G2" s="4" t="n">
        <v>248808</v>
      </c>
      <c r="H2" s="7" t="n">
        <v>3.6</v>
      </c>
      <c r="I2" s="4" t="n">
        <v>82936</v>
      </c>
    </row>
    <row r="3">
      <c r="A3" s="3" t="inlineStr">
        <is>
          <t>Q2</t>
        </is>
      </c>
      <c r="B3" s="6" t="n">
        <v>127.5</v>
      </c>
      <c r="C3" s="4" t="n">
        <v>103500</v>
      </c>
      <c r="D3" s="4" t="n">
        <v>16500</v>
      </c>
      <c r="E3" s="4" t="n">
        <v>120000</v>
      </c>
      <c r="F3" s="6" t="n">
        <v>63.7</v>
      </c>
      <c r="G3" s="4" t="n">
        <v>497617</v>
      </c>
      <c r="H3" s="7" t="n">
        <v>4.1</v>
      </c>
      <c r="I3" s="4" t="n">
        <v>165872</v>
      </c>
    </row>
    <row r="4">
      <c r="A4" s="3" t="inlineStr">
        <is>
          <t>Q3</t>
        </is>
      </c>
      <c r="B4" s="6" t="n">
        <v>165.7</v>
      </c>
      <c r="C4" s="4" t="n">
        <v>103500</v>
      </c>
      <c r="D4" s="4" t="n">
        <v>16500</v>
      </c>
      <c r="E4" s="4" t="n">
        <v>120000</v>
      </c>
      <c r="F4" s="6" t="n">
        <v>82.8</v>
      </c>
      <c r="G4" s="4" t="n">
        <v>648715</v>
      </c>
      <c r="H4" s="7" t="n">
        <v>5.4</v>
      </c>
      <c r="I4" s="4" t="n">
        <v>216238</v>
      </c>
    </row>
    <row r="5">
      <c r="A5" s="3" t="inlineStr">
        <is>
          <t>Q4</t>
        </is>
      </c>
      <c r="B5" s="6" t="n">
        <v>212.3</v>
      </c>
      <c r="C5" s="4" t="n">
        <v>103500</v>
      </c>
      <c r="D5" s="4" t="n">
        <v>16500</v>
      </c>
      <c r="E5" s="4" t="n">
        <v>120000</v>
      </c>
      <c r="F5" s="6" t="n">
        <v>106.1</v>
      </c>
      <c r="G5" s="4" t="n">
        <v>832225</v>
      </c>
      <c r="H5" s="7" t="n">
        <v>6.9</v>
      </c>
      <c r="I5" s="4" t="n">
        <v>277408</v>
      </c>
    </row>
    <row r="6">
      <c r="A6" s="3" t="inlineStr">
        <is>
          <t>Q5</t>
        </is>
      </c>
      <c r="B6" s="6" t="n">
        <v>237</v>
      </c>
      <c r="C6" s="4" t="n">
        <v>103500</v>
      </c>
      <c r="D6" s="4" t="n">
        <v>16500</v>
      </c>
      <c r="E6" s="4" t="n">
        <v>120000</v>
      </c>
      <c r="F6" s="6" t="n">
        <v>118.6</v>
      </c>
      <c r="G6" s="4" t="n">
        <v>929461</v>
      </c>
      <c r="H6" s="7" t="n">
        <v>7.7</v>
      </c>
      <c r="I6" s="4" t="n">
        <v>309820</v>
      </c>
    </row>
    <row r="7">
      <c r="A7" s="3" t="inlineStr">
        <is>
          <t>Q6</t>
        </is>
      </c>
      <c r="B7" s="6" t="n">
        <v>270</v>
      </c>
      <c r="C7" s="4" t="n">
        <v>103500</v>
      </c>
      <c r="D7" s="4" t="n">
        <v>16500</v>
      </c>
      <c r="E7" s="4" t="n">
        <v>120000</v>
      </c>
      <c r="F7" s="6" t="n">
        <v>135</v>
      </c>
      <c r="G7" s="4" t="n">
        <v>1059109</v>
      </c>
      <c r="H7" s="7" t="n">
        <v>8.800000000000001</v>
      </c>
      <c r="I7" s="4" t="n">
        <v>353036</v>
      </c>
    </row>
    <row r="8">
      <c r="A8" s="8" t="inlineStr">
        <is>
          <t>TOTAL</t>
        </is>
      </c>
      <c r="B8" s="9" t="n">
        <v>1076.2</v>
      </c>
      <c r="C8" s="10" t="n">
        <v>569250</v>
      </c>
      <c r="D8" s="10" t="n">
        <v>99000</v>
      </c>
      <c r="E8" s="10" t="n">
        <v>668250</v>
      </c>
      <c r="F8" s="9" t="n">
        <v>538</v>
      </c>
      <c r="G8" s="10" t="n">
        <v>4215935</v>
      </c>
      <c r="H8" s="11" t="n">
        <v>6.308918817807707</v>
      </c>
      <c r="I8" s="10" t="n"/>
    </row>
    <row r="9">
      <c r="A9" s="12" t="inlineStr"/>
      <c r="B9" s="13" t="inlineStr"/>
      <c r="C9" s="14" t="inlineStr"/>
      <c r="D9" s="14" t="inlineStr"/>
      <c r="E9" s="14" t="inlineStr"/>
      <c r="F9" s="13" t="inlineStr"/>
      <c r="G9" s="14" t="inlineStr"/>
      <c r="H9" s="15" t="inlineStr">
        <is>
          <t>Q6 Monthly:</t>
        </is>
      </c>
      <c r="I9" s="14" t="n">
        <v>353036</v>
      </c>
    </row>
    <row r="10">
      <c r="A10" s="12" t="inlineStr"/>
      <c r="B10" s="13" t="inlineStr"/>
      <c r="C10" s="14" t="inlineStr"/>
      <c r="D10" s="14" t="inlineStr"/>
      <c r="E10" s="14" t="inlineStr"/>
      <c r="F10" s="13" t="inlineStr"/>
      <c r="G10" s="14" t="inlineStr"/>
      <c r="H10" s="15" t="inlineStr">
        <is>
          <t>$300k Goal Met?</t>
        </is>
      </c>
      <c r="I10" s="14" t="inlineStr">
        <is>
          <t>✓ 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3" customWidth="1" min="3" max="3"/>
    <col width="35" customWidth="1" min="4" max="4"/>
  </cols>
  <sheetData>
    <row r="1">
      <c r="A1" s="1" t="inlineStr">
        <is>
          <t>Scenario Type</t>
        </is>
      </c>
      <c r="B1" s="1" t="inlineStr">
        <is>
          <t>Variable Changed</t>
        </is>
      </c>
      <c r="C1" s="1" t="inlineStr">
        <is>
          <t>Impact</t>
        </is>
      </c>
      <c r="D1" s="1" t="inlineStr">
        <is>
          <t>Result/Notes</t>
        </is>
      </c>
    </row>
    <row r="2">
      <c r="A2" s="2" t="inlineStr">
        <is>
          <t>SENSITIVITY ANALYSIS</t>
        </is>
      </c>
      <c r="B2" s="2" t="inlineStr"/>
      <c r="C2" s="2" t="inlineStr"/>
      <c r="D2" s="2" t="inlineStr"/>
    </row>
    <row r="3">
      <c r="A3" s="3" t="inlineStr">
        <is>
          <t>Closing Rate</t>
        </is>
      </c>
      <c r="B3" s="3" t="inlineStr">
        <is>
          <t>60% (vs 50% base)</t>
        </is>
      </c>
      <c r="C3" s="3" t="inlineStr">
        <is>
          <t>Higher job conversion</t>
        </is>
      </c>
      <c r="D3" s="3" t="inlineStr">
        <is>
          <t>Q6 monthly: ~$847k (both locations)</t>
        </is>
      </c>
    </row>
    <row r="4">
      <c r="A4" s="3" t="inlineStr">
        <is>
          <t>Closing Rate</t>
        </is>
      </c>
      <c r="B4" s="3" t="inlineStr">
        <is>
          <t>40% (vs 50% base)</t>
        </is>
      </c>
      <c r="C4" s="3" t="inlineStr">
        <is>
          <t>Lower job conversion</t>
        </is>
      </c>
      <c r="D4" s="3" t="inlineStr">
        <is>
          <t>Q6 monthly: ~$565k (both locations)</t>
        </is>
      </c>
    </row>
    <row r="5">
      <c r="A5" s="3" t="inlineStr"/>
      <c r="B5" s="3" t="inlineStr"/>
      <c r="C5" s="3" t="inlineStr"/>
      <c r="D5" s="3" t="inlineStr"/>
    </row>
    <row r="6">
      <c r="A6" s="3" t="inlineStr">
        <is>
          <t>Cost Per Lead</t>
        </is>
      </c>
      <c r="B6" s="3" t="inlineStr">
        <is>
          <t>+20% CPL increase</t>
        </is>
      </c>
      <c r="C6" s="3" t="inlineStr">
        <is>
          <t>Tucson $840, Denver $960</t>
        </is>
      </c>
      <c r="D6" s="3" t="inlineStr">
        <is>
          <t>ROI drops to ~16x in Q6, still hits $300k target</t>
        </is>
      </c>
    </row>
    <row r="7">
      <c r="A7" s="3" t="inlineStr">
        <is>
          <t>Cost Per Lead</t>
        </is>
      </c>
      <c r="B7" s="3" t="inlineStr">
        <is>
          <t>-10% CPL decrease</t>
        </is>
      </c>
      <c r="C7" s="3" t="inlineStr">
        <is>
          <t>Tucson $630, Denver $720</t>
        </is>
      </c>
      <c r="D7" s="3" t="inlineStr">
        <is>
          <t>ROI improves to ~22x in Q6</t>
        </is>
      </c>
    </row>
    <row r="8">
      <c r="A8" s="3" t="inlineStr"/>
      <c r="B8" s="3" t="inlineStr"/>
      <c r="C8" s="3" t="inlineStr"/>
      <c r="D8" s="3" t="inlineStr"/>
    </row>
    <row r="9">
      <c r="A9" s="3" t="inlineStr">
        <is>
          <t>Website Delay</t>
        </is>
      </c>
      <c r="B9" s="3" t="inlineStr">
        <is>
          <t>Website starts Q4 (not Q3)</t>
        </is>
      </c>
      <c r="C9" s="3" t="inlineStr">
        <is>
          <t>Delayed organic growth</t>
        </is>
      </c>
      <c r="D9" s="3" t="inlineStr">
        <is>
          <t>Q6 monthly: ~$658k, still exceeds goal</t>
        </is>
      </c>
    </row>
    <row r="10">
      <c r="A10" s="3" t="inlineStr">
        <is>
          <t>Website Acceleration</t>
        </is>
      </c>
      <c r="B10" s="3" t="inlineStr">
        <is>
          <t>Website starts Q2</t>
        </is>
      </c>
      <c r="C10" s="3" t="inlineStr">
        <is>
          <t>Faster organic growth</t>
        </is>
      </c>
      <c r="D10" s="3" t="inlineStr">
        <is>
          <t>Q6 monthly: ~$780k, exceeds goal</t>
        </is>
      </c>
    </row>
    <row r="11">
      <c r="A11" s="3" t="inlineStr"/>
      <c r="B11" s="3" t="inlineStr"/>
      <c r="C11" s="3" t="inlineStr"/>
      <c r="D11" s="3" t="inlineStr"/>
    </row>
    <row r="12">
      <c r="A12" s="2" t="inlineStr">
        <is>
          <t>RECOMMENDATIONS</t>
        </is>
      </c>
      <c r="B12" s="2" t="inlineStr"/>
      <c r="C12" s="2" t="inlineStr"/>
      <c r="D12" s="2" t="inlineStr"/>
    </row>
    <row r="13">
      <c r="A13" s="3" t="inlineStr">
        <is>
          <t>Acceleration Strategy</t>
        </is>
      </c>
      <c r="B13" s="3" t="inlineStr">
        <is>
          <t>Plumbing keywords Q3</t>
        </is>
      </c>
      <c r="C13" s="3" t="inlineStr">
        <is>
          <t>Lower CPL by 10-20%</t>
        </is>
      </c>
      <c r="D13" s="3" t="inlineStr">
        <is>
          <t>Target emergency plumbing searches</t>
        </is>
      </c>
    </row>
    <row r="14">
      <c r="A14" s="3" t="inlineStr">
        <is>
          <t>Acceleration Strategy</t>
        </is>
      </c>
      <c r="B14" s="3" t="inlineStr">
        <is>
          <t>Add 2nd GBP in Denver Q2</t>
        </is>
      </c>
      <c r="C14" s="3" t="inlineStr">
        <is>
          <t>Additional 20-30 leads/mo by Q4</t>
        </is>
      </c>
      <c r="D14" s="3" t="inlineStr">
        <is>
          <t>Target downtown Denver market</t>
        </is>
      </c>
    </row>
    <row r="15">
      <c r="A15" s="3" t="inlineStr">
        <is>
          <t>Acceleration Strategy</t>
        </is>
      </c>
      <c r="B15" s="3" t="inlineStr">
        <is>
          <t>Add 2nd GBP in Tucson Q4</t>
        </is>
      </c>
      <c r="C15" s="3" t="inlineStr">
        <is>
          <t>Additional 15-20 leads/mo by Q6</t>
        </is>
      </c>
      <c r="D15" s="3" t="inlineStr">
        <is>
          <t>Target east/north Tucson</t>
        </is>
      </c>
    </row>
    <row r="16">
      <c r="A16" s="3" t="inlineStr"/>
      <c r="B16" s="3" t="inlineStr"/>
      <c r="C16" s="3" t="inlineStr"/>
      <c r="D16" s="3" t="inlineStr"/>
    </row>
    <row r="17">
      <c r="A17" s="2" t="inlineStr">
        <is>
          <t>CONSERVATIVE NOTES</t>
        </is>
      </c>
      <c r="B17" s="2" t="inlineStr"/>
      <c r="C17" s="2" t="inlineStr"/>
      <c r="D17" s="2" t="inlineStr"/>
    </row>
    <row r="18">
      <c r="A18" s="3" t="inlineStr">
        <is>
          <t>Website Ramp</t>
        </is>
      </c>
      <c r="B18" s="3" t="inlineStr">
        <is>
          <t>Slower than average</t>
        </is>
      </c>
      <c r="C18" s="3" t="inlineStr">
        <is>
          <t>~$498k total Q1-Q2</t>
        </is>
      </c>
      <c r="D18" s="3" t="inlineStr">
        <is>
          <t>Ensures realistic expectations</t>
        </is>
      </c>
    </row>
    <row r="19">
      <c r="A19" s="3" t="inlineStr">
        <is>
          <t>GBP Ramp</t>
        </is>
      </c>
      <c r="B19" s="3" t="inlineStr">
        <is>
          <t>Standard timeline</t>
        </is>
      </c>
      <c r="C19" s="3" t="inlineStr">
        <is>
          <t>4-6 month maturity typical</t>
        </is>
      </c>
      <c r="D19" s="3" t="inlineStr">
        <is>
          <t>25%/50%/75%/100% progression</t>
        </is>
      </c>
    </row>
    <row r="20">
      <c r="A20" s="3" t="inlineStr">
        <is>
          <t>Ad Ramp</t>
        </is>
      </c>
      <c r="B20" s="3" t="inlineStr">
        <is>
          <t>50% start Q1</t>
        </is>
      </c>
      <c r="C20" s="3" t="inlineStr">
        <is>
          <t>90-day optimization sprint</t>
        </is>
      </c>
      <c r="D20" s="3" t="inlineStr">
        <is>
          <t>Full capacity Q2+</t>
        </is>
      </c>
    </row>
    <row r="21">
      <c r="A21" s="3" t="inlineStr"/>
      <c r="B21" s="3" t="inlineStr"/>
      <c r="C21" s="3" t="inlineStr"/>
      <c r="D21" s="3" t="inlineStr"/>
    </row>
    <row r="22">
      <c r="A22" s="2" t="inlineStr">
        <is>
          <t>FEASIBILITY CHECK</t>
        </is>
      </c>
      <c r="B22" s="2" t="inlineStr"/>
      <c r="C22" s="2" t="inlineStr"/>
      <c r="D22" s="2" t="inlineStr"/>
    </row>
    <row r="23">
      <c r="A23" s="3" t="inlineStr">
        <is>
          <t>Q6 Monthly Target</t>
        </is>
      </c>
      <c r="B23" s="3" t="inlineStr">
        <is>
          <t>~$706k/month projected</t>
        </is>
      </c>
      <c r="C23" s="3" t="inlineStr">
        <is>
          <t>Exceeds $300k goal</t>
        </is>
      </c>
      <c r="D23" s="3" t="inlineStr">
        <is>
          <t>Combined both locations</t>
        </is>
      </c>
    </row>
    <row r="24">
      <c r="A24" s="3" t="inlineStr">
        <is>
          <t>18-Month Total</t>
        </is>
      </c>
      <c r="B24" s="3" t="inlineStr">
        <is>
          <t>~$8.43M projected</t>
        </is>
      </c>
      <c r="C24" s="3" t="inlineStr">
        <is>
          <t>Based on conservative model</t>
        </is>
      </c>
      <c r="D24" s="3" t="inlineStr">
        <is>
          <t>Blended all channels</t>
        </is>
      </c>
    </row>
    <row r="25">
      <c r="A25" s="3" t="inlineStr">
        <is>
          <t>Break-even Point</t>
        </is>
      </c>
      <c r="B25" s="3" t="inlineStr">
        <is>
          <t>Q1 shows positive ROI</t>
        </is>
      </c>
      <c r="C25" s="3" t="inlineStr">
        <is>
          <t>10.2x combined ROI</t>
        </is>
      </c>
      <c r="D25" s="3" t="inlineStr">
        <is>
          <t>Immediate profitability</t>
        </is>
      </c>
    </row>
    <row r="26">
      <c r="A26" s="3" t="inlineStr"/>
      <c r="B26" s="3" t="inlineStr"/>
      <c r="C26" s="3" t="inlineStr"/>
      <c r="D26" s="3" t="inlineStr"/>
    </row>
    <row r="27">
      <c r="A27" s="2" t="inlineStr">
        <is>
          <t>FORMULAS DOCUMENTATION</t>
        </is>
      </c>
      <c r="B27" s="2" t="inlineStr"/>
      <c r="C27" s="2" t="inlineStr"/>
      <c r="D27" s="2" t="inlineStr"/>
    </row>
    <row r="28">
      <c r="A28" s="3" t="inlineStr">
        <is>
          <t>Qualified Leads (Qtr)</t>
        </is>
      </c>
      <c r="B28" s="3">
        <f>Max Monthly × Ramp % × Qualified % × 3</f>
        <v/>
      </c>
      <c r="C28" s="3" t="inlineStr"/>
      <c r="D28" s="3" t="inlineStr">
        <is>
          <t>3 months per quarter</t>
        </is>
      </c>
    </row>
    <row r="29">
      <c r="A29" s="3" t="inlineStr">
        <is>
          <t>Ad Spend (Qtr)</t>
        </is>
      </c>
      <c r="B29" s="3">
        <f>PPC Leads (raw) × CPL</f>
        <v/>
      </c>
      <c r="C29" s="3" t="inlineStr"/>
      <c r="D29" s="3" t="inlineStr">
        <is>
          <t>Only for PPC channel</t>
        </is>
      </c>
    </row>
    <row r="30">
      <c r="A30" s="3" t="inlineStr">
        <is>
          <t>Management Fee (Qtr)</t>
        </is>
      </c>
      <c r="B30" s="3">
        <f>$5,500 ÷ 2 × 3 months</f>
        <v/>
      </c>
      <c r="C30" s="3" t="inlineStr"/>
      <c r="D30" s="3" t="inlineStr">
        <is>
          <t>Split 50/50 between locations</t>
        </is>
      </c>
    </row>
    <row r="31">
      <c r="A31" s="3" t="inlineStr">
        <is>
          <t>Jobs (Qtr)</t>
        </is>
      </c>
      <c r="B31" s="3">
        <f>Total Qualified Leads × Closing Rate</f>
        <v/>
      </c>
      <c r="C31" s="3" t="inlineStr"/>
      <c r="D31" s="3" t="inlineStr">
        <is>
          <t>50% close rate assumption</t>
        </is>
      </c>
    </row>
    <row r="32">
      <c r="A32" s="3" t="inlineStr">
        <is>
          <t>Revenue (Qtr)</t>
        </is>
      </c>
      <c r="B32" s="3">
        <f>Jobs × LTV</f>
        <v/>
      </c>
      <c r="C32" s="3" t="inlineStr"/>
      <c r="D32" s="3" t="inlineStr">
        <is>
          <t>Tucson $10,933, Denver $6,100</t>
        </is>
      </c>
    </row>
    <row r="33">
      <c r="A33" s="3" t="inlineStr">
        <is>
          <t>ROI</t>
        </is>
      </c>
      <c r="B33" s="3">
        <f>Revenue ÷ Total Cost</f>
        <v/>
      </c>
      <c r="C33" s="3" t="inlineStr"/>
      <c r="D33" s="3" t="inlineStr">
        <is>
          <t>If Total Cost &gt; 0</t>
        </is>
      </c>
    </row>
    <row r="34">
      <c r="A34" s="3" t="inlineStr">
        <is>
          <t>LTV (Tucson)</t>
        </is>
      </c>
      <c r="B34" s="3">
        <f>Mit + (Abate% × Abate) + (Recon% × Recon)</f>
        <v/>
      </c>
      <c r="C34" s="3" t="inlineStr"/>
      <c r="D34" s="3" t="inlineStr">
        <is>
          <t>$4,589 + (30% × $7,484) + (55% × $7,452)</t>
        </is>
      </c>
    </row>
    <row r="35">
      <c r="A35" s="3" t="inlineStr">
        <is>
          <t>LTV (Denver)</t>
        </is>
      </c>
      <c r="B35" s="3">
        <f>Mitigation Average</f>
        <v/>
      </c>
      <c r="C35" s="3" t="inlineStr"/>
      <c r="D35" s="3" t="inlineStr">
        <is>
          <t>$6,100 (recon referred out)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2026-02-05T17:52:21Z</dcterms:created>
  <dcterms:modified xsi:type="dcterms:W3CDTF">2026-02-05T17:52:21Z</dcterms:modified>
</cp:coreProperties>
</file>