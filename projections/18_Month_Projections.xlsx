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ucson Projections" sheetId="2" state="visible" r:id="rId2"/>
    <sheet name="Denver Projections" sheetId="3" state="visible" r:id="rId3"/>
    <sheet name="Combined Summary" sheetId="4" state="visible" r:id="rId4"/>
    <sheet name="Sensitiviti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x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General</t>
        </is>
      </c>
      <c r="B2" s="2" t="inlineStr">
        <is>
          <t>Base Monthly Ad Spend Per Location</t>
        </is>
      </c>
      <c r="C2" s="2" t="n">
        <v>5000</v>
      </c>
      <c r="D2" s="2" t="inlineStr">
        <is>
          <t>Per location per month</t>
        </is>
      </c>
    </row>
    <row r="3">
      <c r="A3" s="2" t="inlineStr">
        <is>
          <t>General</t>
        </is>
      </c>
      <c r="B3" s="2" t="inlineStr">
        <is>
          <t>Monthly Management Fee (Both Locations)</t>
        </is>
      </c>
      <c r="C3" s="2" t="n">
        <v>5500</v>
      </c>
      <c r="D3" s="2" t="inlineStr">
        <is>
          <t>Total for both locations</t>
        </is>
      </c>
    </row>
    <row r="4">
      <c r="A4" s="2" t="inlineStr">
        <is>
          <t>General</t>
        </is>
      </c>
      <c r="B4" s="2" t="inlineStr">
        <is>
          <t>Qualified Lead % of Calls</t>
        </is>
      </c>
      <c r="C4" s="3" t="n">
        <v>0.5</v>
      </c>
      <c r="D4" s="2" t="inlineStr">
        <is>
          <t>Half of calls become qualified leads</t>
        </is>
      </c>
    </row>
    <row r="5">
      <c r="A5" s="2" t="inlineStr">
        <is>
          <t>General</t>
        </is>
      </c>
      <c r="B5" s="2" t="inlineStr">
        <is>
          <t>Closing Rate (Qualified to Job)</t>
        </is>
      </c>
      <c r="C5" s="3" t="n">
        <v>0.5</v>
      </c>
      <c r="D5" s="2" t="inlineStr">
        <is>
          <t>Half of qualified leads become jobs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Tucson</t>
        </is>
      </c>
      <c r="B7" s="2" t="inlineStr">
        <is>
          <t>Max Monthly Website Leads</t>
        </is>
      </c>
      <c r="C7" s="2" t="n">
        <v>20</v>
      </c>
      <c r="D7" s="2" t="inlineStr"/>
    </row>
    <row r="8">
      <c r="A8" s="2" t="inlineStr">
        <is>
          <t>Tucson</t>
        </is>
      </c>
      <c r="B8" s="2" t="inlineStr">
        <is>
          <t>Max Monthly PPC Leads</t>
        </is>
      </c>
      <c r="C8" s="2" t="n">
        <v>15</v>
      </c>
      <c r="D8" s="2" t="inlineStr"/>
    </row>
    <row r="9">
      <c r="A9" s="2" t="inlineStr">
        <is>
          <t>Tucson</t>
        </is>
      </c>
      <c r="B9" s="2" t="inlineStr">
        <is>
          <t>Max Monthly GBP Leads</t>
        </is>
      </c>
      <c r="C9" s="2" t="n">
        <v>30</v>
      </c>
      <c r="D9" s="2" t="inlineStr"/>
    </row>
    <row r="10">
      <c r="A10" s="2" t="inlineStr">
        <is>
          <t>Tucson</t>
        </is>
      </c>
      <c r="B10" s="2" t="inlineStr">
        <is>
          <t>CPL (Cost Per Lead)</t>
        </is>
      </c>
      <c r="C10" s="2" t="n">
        <v>700</v>
      </c>
      <c r="D10" s="2" t="inlineStr"/>
    </row>
    <row r="11">
      <c r="A11" s="2" t="inlineStr">
        <is>
          <t>Tucson</t>
        </is>
      </c>
      <c r="B11" s="2" t="inlineStr">
        <is>
          <t>Mitigation Average</t>
        </is>
      </c>
      <c r="C11" s="2" t="n">
        <v>4589</v>
      </c>
      <c r="D11" s="2" t="inlineStr"/>
    </row>
    <row r="12">
      <c r="A12" s="2" t="inlineStr">
        <is>
          <t>Tucson</t>
        </is>
      </c>
      <c r="B12" s="2" t="inlineStr">
        <is>
          <t>Abatement Average</t>
        </is>
      </c>
      <c r="C12" s="2" t="n">
        <v>7484</v>
      </c>
      <c r="D12" s="2" t="inlineStr"/>
    </row>
    <row r="13">
      <c r="A13" s="2" t="inlineStr">
        <is>
          <t>Tucson</t>
        </is>
      </c>
      <c r="B13" s="2" t="inlineStr">
        <is>
          <t>Abatement Conversion %</t>
        </is>
      </c>
      <c r="C13" s="3" t="n">
        <v>0.3</v>
      </c>
      <c r="D13" s="2" t="inlineStr"/>
    </row>
    <row r="14">
      <c r="A14" s="2" t="inlineStr">
        <is>
          <t>Tucson</t>
        </is>
      </c>
      <c r="B14" s="2" t="inlineStr">
        <is>
          <t>Reconstruction Conversion %</t>
        </is>
      </c>
      <c r="C14" s="3" t="n">
        <v>0.55</v>
      </c>
      <c r="D14" s="2" t="inlineStr"/>
    </row>
    <row r="15">
      <c r="A15" s="2" t="inlineStr">
        <is>
          <t>Tucson</t>
        </is>
      </c>
      <c r="B15" s="2" t="inlineStr">
        <is>
          <t>Reconstruction Average</t>
        </is>
      </c>
      <c r="C15" s="2" t="n">
        <v>7452</v>
      </c>
      <c r="D15" s="2" t="inlineStr"/>
    </row>
    <row r="16">
      <c r="A16" s="2" t="inlineStr">
        <is>
          <t>Tucson</t>
        </is>
      </c>
      <c r="B16" s="2" t="inlineStr">
        <is>
          <t>LTV Per Job</t>
        </is>
      </c>
      <c r="C16" s="2" t="n">
        <v>10933</v>
      </c>
      <c r="D16" s="2" t="inlineStr">
        <is>
          <t>Mit + (Abate Conv * Abate Avg) + (Recon Conv * Recon Avg)</t>
        </is>
      </c>
    </row>
    <row r="17">
      <c r="A17" s="2" t="inlineStr"/>
      <c r="B17" s="2" t="inlineStr"/>
      <c r="C17" s="2" t="inlineStr"/>
      <c r="D17" s="2" t="inlineStr"/>
    </row>
    <row r="18">
      <c r="A18" s="2" t="inlineStr">
        <is>
          <t>Denver</t>
        </is>
      </c>
      <c r="B18" s="2" t="inlineStr">
        <is>
          <t>Max Monthly Website Leads</t>
        </is>
      </c>
      <c r="C18" s="2" t="n">
        <v>35</v>
      </c>
      <c r="D18" s="2" t="inlineStr"/>
    </row>
    <row r="19">
      <c r="A19" s="2" t="inlineStr">
        <is>
          <t>Denver</t>
        </is>
      </c>
      <c r="B19" s="2" t="inlineStr">
        <is>
          <t>Max Monthly PPC Leads</t>
        </is>
      </c>
      <c r="C19" s="2" t="n">
        <v>30</v>
      </c>
      <c r="D19" s="2" t="inlineStr"/>
    </row>
    <row r="20">
      <c r="A20" s="2" t="inlineStr">
        <is>
          <t>Denver</t>
        </is>
      </c>
      <c r="B20" s="2" t="inlineStr">
        <is>
          <t>Max Monthly GBP Leads</t>
        </is>
      </c>
      <c r="C20" s="2" t="n">
        <v>50</v>
      </c>
      <c r="D20" s="2" t="inlineStr"/>
    </row>
    <row r="21">
      <c r="A21" s="2" t="inlineStr">
        <is>
          <t>Denver</t>
        </is>
      </c>
      <c r="B21" s="2" t="inlineStr">
        <is>
          <t>CPL (Cost Per Lead)</t>
        </is>
      </c>
      <c r="C21" s="2" t="n">
        <v>800</v>
      </c>
      <c r="D21" s="2" t="inlineStr"/>
    </row>
    <row r="22">
      <c r="A22" s="2" t="inlineStr">
        <is>
          <t>Denver</t>
        </is>
      </c>
      <c r="B22" s="2" t="inlineStr">
        <is>
          <t>Mitigation Average</t>
        </is>
      </c>
      <c r="C22" s="2" t="n">
        <v>6100</v>
      </c>
      <c r="D22" s="2" t="inlineStr"/>
    </row>
    <row r="23">
      <c r="A23" s="2" t="inlineStr">
        <is>
          <t>Denver</t>
        </is>
      </c>
      <c r="B23" s="2" t="inlineStr">
        <is>
          <t>Recon Referral Fee Per Job</t>
        </is>
      </c>
      <c r="C23" s="2" t="n">
        <v>0</v>
      </c>
      <c r="D23" s="2" t="inlineStr"/>
    </row>
    <row r="24">
      <c r="A24" s="2" t="inlineStr">
        <is>
          <t>Denver</t>
        </is>
      </c>
      <c r="B24" s="2" t="inlineStr">
        <is>
          <t>LTV Per Job</t>
        </is>
      </c>
      <c r="C24" s="2" t="n">
        <v>6100</v>
      </c>
      <c r="D24" s="2" t="inlineStr">
        <is>
          <t>Mit Avg + Recon Fee</t>
        </is>
      </c>
    </row>
    <row r="25">
      <c r="A25" s="2" t="inlineStr"/>
      <c r="B25" s="2" t="inlineStr"/>
      <c r="C25" s="2" t="inlineStr"/>
      <c r="D25" s="2" t="inlineStr"/>
    </row>
    <row r="26">
      <c r="A26" s="2" t="inlineStr">
        <is>
          <t>Ramp - Ads</t>
        </is>
      </c>
      <c r="B26" s="2" t="inlineStr">
        <is>
          <t>Q1</t>
        </is>
      </c>
      <c r="C26" s="3" t="n">
        <v>0.5</v>
      </c>
      <c r="D26" s="2" t="inlineStr"/>
    </row>
    <row r="27">
      <c r="A27" s="2" t="inlineStr">
        <is>
          <t>Ramp - Ads</t>
        </is>
      </c>
      <c r="B27" s="2" t="inlineStr">
        <is>
          <t>Q2</t>
        </is>
      </c>
      <c r="C27" s="3" t="n">
        <v>1</v>
      </c>
      <c r="D27" s="2" t="inlineStr"/>
    </row>
    <row r="28">
      <c r="A28" s="2" t="inlineStr">
        <is>
          <t>Ramp - Ads</t>
        </is>
      </c>
      <c r="B28" s="2" t="inlineStr">
        <is>
          <t>Q3</t>
        </is>
      </c>
      <c r="C28" s="3" t="n">
        <v>1</v>
      </c>
      <c r="D28" s="2" t="inlineStr"/>
    </row>
    <row r="29">
      <c r="A29" s="2" t="inlineStr">
        <is>
          <t>Ramp - Ads</t>
        </is>
      </c>
      <c r="B29" s="2" t="inlineStr">
        <is>
          <t>Q4</t>
        </is>
      </c>
      <c r="C29" s="3" t="n">
        <v>1</v>
      </c>
      <c r="D29" s="2" t="inlineStr"/>
    </row>
    <row r="30">
      <c r="A30" s="2" t="inlineStr">
        <is>
          <t>Ramp - Ads</t>
        </is>
      </c>
      <c r="B30" s="2" t="inlineStr">
        <is>
          <t>Q5</t>
        </is>
      </c>
      <c r="C30" s="3" t="n">
        <v>1</v>
      </c>
      <c r="D30" s="2" t="inlineStr"/>
    </row>
    <row r="31">
      <c r="A31" s="2" t="inlineStr">
        <is>
          <t>Ramp - Ads</t>
        </is>
      </c>
      <c r="B31" s="2" t="inlineStr">
        <is>
          <t>Q6</t>
        </is>
      </c>
      <c r="C31" s="3" t="n">
        <v>1</v>
      </c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>
        <is>
          <t>Ramp - GBP</t>
        </is>
      </c>
      <c r="B33" s="2" t="inlineStr">
        <is>
          <t>Q1</t>
        </is>
      </c>
      <c r="C33" s="3" t="n">
        <v>0.25</v>
      </c>
      <c r="D33" s="2" t="inlineStr"/>
    </row>
    <row r="34">
      <c r="A34" s="2" t="inlineStr">
        <is>
          <t>Ramp - GBP</t>
        </is>
      </c>
      <c r="B34" s="2" t="inlineStr">
        <is>
          <t>Q2</t>
        </is>
      </c>
      <c r="C34" s="3" t="n">
        <v>0.5</v>
      </c>
      <c r="D34" s="2" t="inlineStr"/>
    </row>
    <row r="35">
      <c r="A35" s="2" t="inlineStr">
        <is>
          <t>Ramp - GBP</t>
        </is>
      </c>
      <c r="B35" s="2" t="inlineStr">
        <is>
          <t>Q3</t>
        </is>
      </c>
      <c r="C35" s="3" t="n">
        <v>0.75</v>
      </c>
      <c r="D35" s="2" t="inlineStr"/>
    </row>
    <row r="36">
      <c r="A36" s="2" t="inlineStr">
        <is>
          <t>Ramp - GBP</t>
        </is>
      </c>
      <c r="B36" s="2" t="inlineStr">
        <is>
          <t>Q4</t>
        </is>
      </c>
      <c r="C36" s="3" t="n">
        <v>1</v>
      </c>
      <c r="D36" s="2" t="inlineStr"/>
    </row>
    <row r="37">
      <c r="A37" s="2" t="inlineStr">
        <is>
          <t>Ramp - GBP</t>
        </is>
      </c>
      <c r="B37" s="2" t="inlineStr">
        <is>
          <t>Q5</t>
        </is>
      </c>
      <c r="C37" s="3" t="n">
        <v>1</v>
      </c>
      <c r="D37" s="2" t="inlineStr"/>
    </row>
    <row r="38">
      <c r="A38" s="2" t="inlineStr">
        <is>
          <t>Ramp - GBP</t>
        </is>
      </c>
      <c r="B38" s="2" t="inlineStr">
        <is>
          <t>Q6</t>
        </is>
      </c>
      <c r="C38" s="3" t="n">
        <v>1</v>
      </c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>
        <is>
          <t>Ramp - Website</t>
        </is>
      </c>
      <c r="B40" s="2" t="inlineStr">
        <is>
          <t>Q1</t>
        </is>
      </c>
      <c r="C40" s="3" t="n">
        <v>0</v>
      </c>
      <c r="D40" s="2" t="inlineStr"/>
    </row>
    <row r="41">
      <c r="A41" s="2" t="inlineStr">
        <is>
          <t>Ramp - Website</t>
        </is>
      </c>
      <c r="B41" s="2" t="inlineStr">
        <is>
          <t>Q2</t>
        </is>
      </c>
      <c r="C41" s="3" t="n">
        <v>0</v>
      </c>
      <c r="D41" s="2" t="inlineStr"/>
    </row>
    <row r="42">
      <c r="A42" s="2" t="inlineStr">
        <is>
          <t>Ramp - Website</t>
        </is>
      </c>
      <c r="B42" s="2" t="inlineStr">
        <is>
          <t>Q3</t>
        </is>
      </c>
      <c r="C42" s="3" t="n">
        <v>0.1</v>
      </c>
      <c r="D42" s="2" t="inlineStr"/>
    </row>
    <row r="43">
      <c r="A43" s="2" t="inlineStr">
        <is>
          <t>Ramp - Website</t>
        </is>
      </c>
      <c r="B43" s="2" t="inlineStr">
        <is>
          <t>Q4</t>
        </is>
      </c>
      <c r="C43" s="3" t="n">
        <v>0.3</v>
      </c>
      <c r="D43" s="2" t="inlineStr"/>
    </row>
    <row r="44">
      <c r="A44" s="2" t="inlineStr">
        <is>
          <t>Ramp - Website</t>
        </is>
      </c>
      <c r="B44" s="2" t="inlineStr">
        <is>
          <t>Q5</t>
        </is>
      </c>
      <c r="C44" s="3" t="n">
        <v>0.6</v>
      </c>
      <c r="D44" s="2" t="inlineStr"/>
    </row>
    <row r="45">
      <c r="A45" s="2" t="inlineStr">
        <is>
          <t>Ramp - Website</t>
        </is>
      </c>
      <c r="B45" s="2" t="inlineStr">
        <is>
          <t>Q6</t>
        </is>
      </c>
      <c r="C45" s="3" t="n">
        <v>1</v>
      </c>
      <c r="D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1" customWidth="1" min="4" max="4"/>
    <col width="23" customWidth="1" min="5" max="5"/>
    <col width="10" customWidth="1" min="6" max="6"/>
    <col width="11" customWidth="1" min="7" max="7"/>
    <col width="10" customWidth="1" min="8" max="8"/>
    <col width="12" customWidth="1" min="9" max="9"/>
    <col width="7" customWidth="1" min="10" max="10"/>
    <col width="9" customWidth="1" min="11" max="11"/>
    <col width="6" customWidth="1" min="12" max="12"/>
  </cols>
  <sheetData>
    <row r="1">
      <c r="A1" s="1" t="inlineStr">
        <is>
          <t>Quarter</t>
        </is>
      </c>
      <c r="B1" s="1" t="inlineStr">
        <is>
          <t>Website Leads</t>
        </is>
      </c>
      <c r="C1" s="1" t="inlineStr">
        <is>
          <t>PPC Leads</t>
        </is>
      </c>
      <c r="D1" s="1" t="inlineStr">
        <is>
          <t>GBP Leads</t>
        </is>
      </c>
      <c r="E1" s="1" t="inlineStr">
        <is>
          <t>Total Qualified Leads</t>
        </is>
      </c>
      <c r="F1" s="1" t="inlineStr">
        <is>
          <t>Ad Spend</t>
        </is>
      </c>
      <c r="G1" s="1" t="inlineStr">
        <is>
          <t>Fee Share</t>
        </is>
      </c>
      <c r="H1" s="1" t="inlineStr">
        <is>
          <t>CPL Cost</t>
        </is>
      </c>
      <c r="I1" s="1" t="inlineStr">
        <is>
          <t>Total Cost</t>
        </is>
      </c>
      <c r="J1" s="1" t="inlineStr">
        <is>
          <t>Jobs</t>
        </is>
      </c>
      <c r="K1" s="1" t="inlineStr">
        <is>
          <t>Revenue</t>
        </is>
      </c>
      <c r="L1" s="1" t="inlineStr">
        <is>
          <t>ROI</t>
        </is>
      </c>
    </row>
    <row r="2">
      <c r="A2" s="2" t="inlineStr">
        <is>
          <t>Q1</t>
        </is>
      </c>
      <c r="B2" s="2" t="n">
        <v>0</v>
      </c>
      <c r="C2" s="2" t="n">
        <v>22.5</v>
      </c>
      <c r="D2" s="2" t="n">
        <v>22.5</v>
      </c>
      <c r="E2" s="2" t="n">
        <v>45</v>
      </c>
      <c r="F2" s="4" t="n">
        <v>7500</v>
      </c>
      <c r="G2" s="4" t="n">
        <v>8250</v>
      </c>
      <c r="H2" s="4" t="n">
        <v>5250</v>
      </c>
      <c r="I2" s="4" t="n">
        <v>21000</v>
      </c>
      <c r="J2" s="2" t="n">
        <v>22.5</v>
      </c>
      <c r="K2" s="4" t="n">
        <v>245981</v>
      </c>
      <c r="L2" s="5" t="n">
        <v>11.7</v>
      </c>
    </row>
    <row r="3">
      <c r="A3" s="2" t="inlineStr">
        <is>
          <t>Q2</t>
        </is>
      </c>
      <c r="B3" s="2" t="n">
        <v>0</v>
      </c>
      <c r="C3" s="2" t="n">
        <v>45</v>
      </c>
      <c r="D3" s="2" t="n">
        <v>45</v>
      </c>
      <c r="E3" s="2" t="n">
        <v>90</v>
      </c>
      <c r="F3" s="4" t="n">
        <v>18000</v>
      </c>
      <c r="G3" s="4" t="n">
        <v>8250</v>
      </c>
      <c r="H3" s="4" t="n">
        <v>10500</v>
      </c>
      <c r="I3" s="4" t="n">
        <v>36750</v>
      </c>
      <c r="J3" s="2" t="n">
        <v>45</v>
      </c>
      <c r="K3" s="4" t="n">
        <v>491976</v>
      </c>
      <c r="L3" s="5" t="n">
        <v>13.4</v>
      </c>
    </row>
    <row r="4">
      <c r="A4" s="2" t="inlineStr">
        <is>
          <t>Q3</t>
        </is>
      </c>
      <c r="B4" s="2" t="n">
        <v>6</v>
      </c>
      <c r="C4" s="2" t="n">
        <v>45</v>
      </c>
      <c r="D4" s="2" t="n">
        <v>67.5</v>
      </c>
      <c r="E4" s="2" t="n">
        <v>118.5</v>
      </c>
      <c r="F4" s="4" t="n">
        <v>21000</v>
      </c>
      <c r="G4" s="4" t="n">
        <v>8250</v>
      </c>
      <c r="H4" s="4" t="n">
        <v>10500</v>
      </c>
      <c r="I4" s="4" t="n">
        <v>39750</v>
      </c>
      <c r="J4" s="2" t="n">
        <v>59.3</v>
      </c>
      <c r="K4" s="4" t="n">
        <v>647808</v>
      </c>
      <c r="L4" s="5" t="n">
        <v>16.3</v>
      </c>
    </row>
    <row r="5">
      <c r="A5" s="2" t="inlineStr">
        <is>
          <t>Q4</t>
        </is>
      </c>
      <c r="B5" s="2" t="n">
        <v>18</v>
      </c>
      <c r="C5" s="2" t="n">
        <v>45</v>
      </c>
      <c r="D5" s="2" t="n">
        <v>90</v>
      </c>
      <c r="E5" s="2" t="n">
        <v>153</v>
      </c>
      <c r="F5" s="4" t="n">
        <v>24000</v>
      </c>
      <c r="G5" s="4" t="n">
        <v>8250</v>
      </c>
      <c r="H5" s="4" t="n">
        <v>10500</v>
      </c>
      <c r="I5" s="4" t="n">
        <v>42750</v>
      </c>
      <c r="J5" s="2" t="n">
        <v>76.5</v>
      </c>
      <c r="K5" s="4" t="n">
        <v>836189</v>
      </c>
      <c r="L5" s="5" t="n">
        <v>19.6</v>
      </c>
    </row>
    <row r="6">
      <c r="A6" s="2" t="inlineStr">
        <is>
          <t>Q5</t>
        </is>
      </c>
      <c r="B6" s="2" t="n">
        <v>36</v>
      </c>
      <c r="C6" s="2" t="n">
        <v>45</v>
      </c>
      <c r="D6" s="2" t="n">
        <v>90</v>
      </c>
      <c r="E6" s="2" t="n">
        <v>171</v>
      </c>
      <c r="F6" s="4" t="n">
        <v>27000</v>
      </c>
      <c r="G6" s="4" t="n">
        <v>8250</v>
      </c>
      <c r="H6" s="4" t="n">
        <v>10500</v>
      </c>
      <c r="I6" s="4" t="n">
        <v>45750</v>
      </c>
      <c r="J6" s="2" t="n">
        <v>85.5</v>
      </c>
      <c r="K6" s="4" t="n">
        <v>934581</v>
      </c>
      <c r="L6" s="5" t="n">
        <v>20.4</v>
      </c>
    </row>
    <row r="7">
      <c r="A7" s="2" t="inlineStr">
        <is>
          <t>Q6</t>
        </is>
      </c>
      <c r="B7" s="2" t="n">
        <v>60</v>
      </c>
      <c r="C7" s="2" t="n">
        <v>45</v>
      </c>
      <c r="D7" s="2" t="n">
        <v>90</v>
      </c>
      <c r="E7" s="2" t="n">
        <v>195</v>
      </c>
      <c r="F7" s="4" t="n">
        <v>30000</v>
      </c>
      <c r="G7" s="4" t="n">
        <v>8250</v>
      </c>
      <c r="H7" s="4" t="n">
        <v>10500</v>
      </c>
      <c r="I7" s="4" t="n">
        <v>48750</v>
      </c>
      <c r="J7" s="2" t="n">
        <v>97.5</v>
      </c>
      <c r="K7" s="4" t="n">
        <v>1065948</v>
      </c>
      <c r="L7" s="5" t="n">
        <v>21.9</v>
      </c>
    </row>
    <row r="8">
      <c r="A8" s="2" t="inlineStr">
        <is>
          <t>Total</t>
        </is>
      </c>
      <c r="B8" s="2" t="n">
        <v>120</v>
      </c>
      <c r="C8" s="2" t="n">
        <v>247.5</v>
      </c>
      <c r="D8" s="2" t="n">
        <v>405</v>
      </c>
      <c r="E8" s="2" t="n">
        <v>772.5</v>
      </c>
      <c r="F8" s="4" t="n">
        <v>127500</v>
      </c>
      <c r="G8" s="4" t="n">
        <v>49500</v>
      </c>
      <c r="H8" s="4" t="n">
        <v>57750</v>
      </c>
      <c r="I8" s="4" t="n">
        <v>234750</v>
      </c>
      <c r="J8" s="2" t="n">
        <v>386.3</v>
      </c>
      <c r="K8" s="4" t="n">
        <v>4222483</v>
      </c>
      <c r="L8" s="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1" customWidth="1" min="4" max="4"/>
    <col width="23" customWidth="1" min="5" max="5"/>
    <col width="10" customWidth="1" min="6" max="6"/>
    <col width="11" customWidth="1" min="7" max="7"/>
    <col width="10" customWidth="1" min="8" max="8"/>
    <col width="12" customWidth="1" min="9" max="9"/>
    <col width="7" customWidth="1" min="10" max="10"/>
    <col width="9" customWidth="1" min="11" max="11"/>
    <col width="6" customWidth="1" min="12" max="12"/>
  </cols>
  <sheetData>
    <row r="1">
      <c r="A1" s="1" t="inlineStr">
        <is>
          <t>Quarter</t>
        </is>
      </c>
      <c r="B1" s="1" t="inlineStr">
        <is>
          <t>Website Leads</t>
        </is>
      </c>
      <c r="C1" s="1" t="inlineStr">
        <is>
          <t>PPC Leads</t>
        </is>
      </c>
      <c r="D1" s="1" t="inlineStr">
        <is>
          <t>GBP Leads</t>
        </is>
      </c>
      <c r="E1" s="1" t="inlineStr">
        <is>
          <t>Total Qualified Leads</t>
        </is>
      </c>
      <c r="F1" s="1" t="inlineStr">
        <is>
          <t>Ad Spend</t>
        </is>
      </c>
      <c r="G1" s="1" t="inlineStr">
        <is>
          <t>Fee Share</t>
        </is>
      </c>
      <c r="H1" s="1" t="inlineStr">
        <is>
          <t>CPL Cost</t>
        </is>
      </c>
      <c r="I1" s="1" t="inlineStr">
        <is>
          <t>Total Cost</t>
        </is>
      </c>
      <c r="J1" s="1" t="inlineStr">
        <is>
          <t>Jobs</t>
        </is>
      </c>
      <c r="K1" s="1" t="inlineStr">
        <is>
          <t>Revenue</t>
        </is>
      </c>
      <c r="L1" s="1" t="inlineStr">
        <is>
          <t>ROI</t>
        </is>
      </c>
    </row>
    <row r="2">
      <c r="A2" s="2" t="inlineStr">
        <is>
          <t>Q1</t>
        </is>
      </c>
      <c r="B2" s="2" t="n">
        <v>0</v>
      </c>
      <c r="C2" s="2" t="n">
        <v>45</v>
      </c>
      <c r="D2" s="2" t="n">
        <v>37.5</v>
      </c>
      <c r="E2" s="2" t="n">
        <v>82.5</v>
      </c>
      <c r="F2" s="4" t="n">
        <v>7500</v>
      </c>
      <c r="G2" s="4" t="n">
        <v>8250</v>
      </c>
      <c r="H2" s="4" t="n">
        <v>12000</v>
      </c>
      <c r="I2" s="4" t="n">
        <v>27750</v>
      </c>
      <c r="J2" s="2" t="n">
        <v>41.3</v>
      </c>
      <c r="K2" s="4" t="n">
        <v>251625</v>
      </c>
      <c r="L2" s="5" t="n">
        <v>9.1</v>
      </c>
    </row>
    <row r="3">
      <c r="A3" s="2" t="inlineStr">
        <is>
          <t>Q2</t>
        </is>
      </c>
      <c r="B3" s="2" t="n">
        <v>0</v>
      </c>
      <c r="C3" s="2" t="n">
        <v>90</v>
      </c>
      <c r="D3" s="2" t="n">
        <v>75</v>
      </c>
      <c r="E3" s="2" t="n">
        <v>165</v>
      </c>
      <c r="F3" s="4" t="n">
        <v>18000</v>
      </c>
      <c r="G3" s="4" t="n">
        <v>8250</v>
      </c>
      <c r="H3" s="4" t="n">
        <v>24000</v>
      </c>
      <c r="I3" s="4" t="n">
        <v>50250</v>
      </c>
      <c r="J3" s="2" t="n">
        <v>82.5</v>
      </c>
      <c r="K3" s="4" t="n">
        <v>503250</v>
      </c>
      <c r="L3" s="5" t="n">
        <v>10</v>
      </c>
    </row>
    <row r="4">
      <c r="A4" s="2" t="inlineStr">
        <is>
          <t>Q3</t>
        </is>
      </c>
      <c r="B4" s="2" t="n">
        <v>10.5</v>
      </c>
      <c r="C4" s="2" t="n">
        <v>90</v>
      </c>
      <c r="D4" s="2" t="n">
        <v>112.5</v>
      </c>
      <c r="E4" s="2" t="n">
        <v>213</v>
      </c>
      <c r="F4" s="4" t="n">
        <v>21000</v>
      </c>
      <c r="G4" s="4" t="n">
        <v>8250</v>
      </c>
      <c r="H4" s="4" t="n">
        <v>24000</v>
      </c>
      <c r="I4" s="4" t="n">
        <v>53250</v>
      </c>
      <c r="J4" s="2" t="n">
        <v>106.5</v>
      </c>
      <c r="K4" s="4" t="n">
        <v>649650</v>
      </c>
      <c r="L4" s="5" t="n">
        <v>12.2</v>
      </c>
    </row>
    <row r="5">
      <c r="A5" s="2" t="inlineStr">
        <is>
          <t>Q4</t>
        </is>
      </c>
      <c r="B5" s="2" t="n">
        <v>31.5</v>
      </c>
      <c r="C5" s="2" t="n">
        <v>90</v>
      </c>
      <c r="D5" s="2" t="n">
        <v>150</v>
      </c>
      <c r="E5" s="2" t="n">
        <v>271.5</v>
      </c>
      <c r="F5" s="4" t="n">
        <v>24000</v>
      </c>
      <c r="G5" s="4" t="n">
        <v>8250</v>
      </c>
      <c r="H5" s="4" t="n">
        <v>24000</v>
      </c>
      <c r="I5" s="4" t="n">
        <v>56250</v>
      </c>
      <c r="J5" s="2" t="n">
        <v>135.8</v>
      </c>
      <c r="K5" s="4" t="n">
        <v>827925</v>
      </c>
      <c r="L5" s="5" t="n">
        <v>14.7</v>
      </c>
    </row>
    <row r="6">
      <c r="A6" s="2" t="inlineStr">
        <is>
          <t>Q5</t>
        </is>
      </c>
      <c r="B6" s="2" t="n">
        <v>63</v>
      </c>
      <c r="C6" s="2" t="n">
        <v>90</v>
      </c>
      <c r="D6" s="2" t="n">
        <v>150</v>
      </c>
      <c r="E6" s="2" t="n">
        <v>303</v>
      </c>
      <c r="F6" s="4" t="n">
        <v>27000</v>
      </c>
      <c r="G6" s="4" t="n">
        <v>8250</v>
      </c>
      <c r="H6" s="4" t="n">
        <v>24000</v>
      </c>
      <c r="I6" s="4" t="n">
        <v>59250</v>
      </c>
      <c r="J6" s="2" t="n">
        <v>151.5</v>
      </c>
      <c r="K6" s="4" t="n">
        <v>924150</v>
      </c>
      <c r="L6" s="5" t="n">
        <v>15.6</v>
      </c>
    </row>
    <row r="7">
      <c r="A7" s="2" t="inlineStr">
        <is>
          <t>Q6</t>
        </is>
      </c>
      <c r="B7" s="2" t="n">
        <v>105</v>
      </c>
      <c r="C7" s="2" t="n">
        <v>90</v>
      </c>
      <c r="D7" s="2" t="n">
        <v>150</v>
      </c>
      <c r="E7" s="2" t="n">
        <v>345</v>
      </c>
      <c r="F7" s="4" t="n">
        <v>30000</v>
      </c>
      <c r="G7" s="4" t="n">
        <v>8250</v>
      </c>
      <c r="H7" s="4" t="n">
        <v>24000</v>
      </c>
      <c r="I7" s="4" t="n">
        <v>62250</v>
      </c>
      <c r="J7" s="2" t="n">
        <v>172.5</v>
      </c>
      <c r="K7" s="4" t="n">
        <v>1052250</v>
      </c>
      <c r="L7" s="5" t="n">
        <v>16.9</v>
      </c>
    </row>
    <row r="8">
      <c r="A8" s="2" t="inlineStr">
        <is>
          <t>Total</t>
        </is>
      </c>
      <c r="B8" s="2" t="n">
        <v>210</v>
      </c>
      <c r="C8" s="2" t="n">
        <v>495</v>
      </c>
      <c r="D8" s="2" t="n">
        <v>675</v>
      </c>
      <c r="E8" s="2" t="n">
        <v>1380</v>
      </c>
      <c r="F8" s="4" t="n">
        <v>127500</v>
      </c>
      <c r="G8" s="4" t="n">
        <v>49500</v>
      </c>
      <c r="H8" s="4" t="n">
        <v>132000</v>
      </c>
      <c r="I8" s="4" t="n">
        <v>309000</v>
      </c>
      <c r="J8" s="2" t="n">
        <v>690</v>
      </c>
      <c r="K8" s="4" t="n">
        <v>4208850</v>
      </c>
      <c r="L8" s="5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6" customWidth="1" min="3" max="3"/>
    <col width="17" customWidth="1" min="4" max="4"/>
    <col width="16" customWidth="1" min="5" max="5"/>
    <col width="12" customWidth="1" min="6" max="6"/>
    <col width="12" customWidth="1" min="7" max="7"/>
    <col width="15" customWidth="1" min="8" max="8"/>
    <col width="14" customWidth="1" min="9" max="9"/>
    <col width="23" customWidth="1" min="10" max="10"/>
  </cols>
  <sheetData>
    <row r="1">
      <c r="A1" s="1" t="inlineStr">
        <is>
          <t>Quarter</t>
        </is>
      </c>
      <c r="B1" s="1" t="inlineStr">
        <is>
          <t>Total Qualified Leads</t>
        </is>
      </c>
      <c r="C1" s="1" t="inlineStr">
        <is>
          <t>Total Ad Spend</t>
        </is>
      </c>
      <c r="D1" s="1" t="inlineStr">
        <is>
          <t>Total Fee Share</t>
        </is>
      </c>
      <c r="E1" s="1" t="inlineStr">
        <is>
          <t>Total CPL Cost</t>
        </is>
      </c>
      <c r="F1" s="1" t="inlineStr">
        <is>
          <t>Total Cost</t>
        </is>
      </c>
      <c r="G1" s="1" t="inlineStr">
        <is>
          <t>Total Jobs</t>
        </is>
      </c>
      <c r="H1" s="1" t="inlineStr">
        <is>
          <t>Total Revenue</t>
        </is>
      </c>
      <c r="I1" s="1" t="inlineStr">
        <is>
          <t>Combined ROI</t>
        </is>
      </c>
      <c r="J1" s="1" t="inlineStr">
        <is>
          <t>Monthly Revenue (Avg)</t>
        </is>
      </c>
    </row>
    <row r="2">
      <c r="A2" s="2" t="inlineStr">
        <is>
          <t>Q1</t>
        </is>
      </c>
      <c r="B2" s="2" t="n">
        <v>127.5</v>
      </c>
      <c r="C2" s="4" t="n">
        <v>15000</v>
      </c>
      <c r="D2" s="4" t="n">
        <v>16500</v>
      </c>
      <c r="E2" s="4" t="n">
        <v>17250</v>
      </c>
      <c r="F2" s="4" t="n">
        <v>48750</v>
      </c>
      <c r="G2" s="2" t="n">
        <v>63.8</v>
      </c>
      <c r="H2" s="4" t="n">
        <v>497606</v>
      </c>
      <c r="I2" s="5" t="n">
        <v>10.2</v>
      </c>
      <c r="J2" s="4" t="n">
        <v>165869</v>
      </c>
    </row>
    <row r="3">
      <c r="A3" s="2" t="inlineStr">
        <is>
          <t>Q2</t>
        </is>
      </c>
      <c r="B3" s="2" t="n">
        <v>255</v>
      </c>
      <c r="C3" s="4" t="n">
        <v>36000</v>
      </c>
      <c r="D3" s="4" t="n">
        <v>16500</v>
      </c>
      <c r="E3" s="4" t="n">
        <v>34500</v>
      </c>
      <c r="F3" s="4" t="n">
        <v>87000</v>
      </c>
      <c r="G3" s="2" t="n">
        <v>127.5</v>
      </c>
      <c r="H3" s="4" t="n">
        <v>995226</v>
      </c>
      <c r="I3" s="5" t="n">
        <v>11.4</v>
      </c>
      <c r="J3" s="4" t="n">
        <v>331742</v>
      </c>
    </row>
    <row r="4">
      <c r="A4" s="2" t="inlineStr">
        <is>
          <t>Q3</t>
        </is>
      </c>
      <c r="B4" s="2" t="n">
        <v>331.5</v>
      </c>
      <c r="C4" s="4" t="n">
        <v>42000</v>
      </c>
      <c r="D4" s="4" t="n">
        <v>16500</v>
      </c>
      <c r="E4" s="4" t="n">
        <v>34500</v>
      </c>
      <c r="F4" s="4" t="n">
        <v>93000</v>
      </c>
      <c r="G4" s="2" t="n">
        <v>165.8</v>
      </c>
      <c r="H4" s="4" t="n">
        <v>1297458</v>
      </c>
      <c r="I4" s="5" t="n">
        <v>13.9</v>
      </c>
      <c r="J4" s="4" t="n">
        <v>432486</v>
      </c>
    </row>
    <row r="5">
      <c r="A5" s="2" t="inlineStr">
        <is>
          <t>Q4</t>
        </is>
      </c>
      <c r="B5" s="2" t="n">
        <v>424.5</v>
      </c>
      <c r="C5" s="4" t="n">
        <v>48000</v>
      </c>
      <c r="D5" s="4" t="n">
        <v>16500</v>
      </c>
      <c r="E5" s="4" t="n">
        <v>34500</v>
      </c>
      <c r="F5" s="4" t="n">
        <v>99000</v>
      </c>
      <c r="G5" s="2" t="n">
        <v>212.3</v>
      </c>
      <c r="H5" s="4" t="n">
        <v>1664114</v>
      </c>
      <c r="I5" s="5" t="n">
        <v>16.8</v>
      </c>
      <c r="J5" s="4" t="n">
        <v>554705</v>
      </c>
    </row>
    <row r="6">
      <c r="A6" s="2" t="inlineStr">
        <is>
          <t>Q5</t>
        </is>
      </c>
      <c r="B6" s="2" t="n">
        <v>474</v>
      </c>
      <c r="C6" s="4" t="n">
        <v>54000</v>
      </c>
      <c r="D6" s="4" t="n">
        <v>16500</v>
      </c>
      <c r="E6" s="4" t="n">
        <v>34500</v>
      </c>
      <c r="F6" s="4" t="n">
        <v>105000</v>
      </c>
      <c r="G6" s="2" t="n">
        <v>237</v>
      </c>
      <c r="H6" s="4" t="n">
        <v>1858731</v>
      </c>
      <c r="I6" s="5" t="n">
        <v>17.7</v>
      </c>
      <c r="J6" s="4" t="n">
        <v>619577</v>
      </c>
    </row>
    <row r="7">
      <c r="A7" s="2" t="inlineStr">
        <is>
          <t>Q6</t>
        </is>
      </c>
      <c r="B7" s="2" t="n">
        <v>540</v>
      </c>
      <c r="C7" s="4" t="n">
        <v>60000</v>
      </c>
      <c r="D7" s="4" t="n">
        <v>16500</v>
      </c>
      <c r="E7" s="4" t="n">
        <v>34500</v>
      </c>
      <c r="F7" s="4" t="n">
        <v>111000</v>
      </c>
      <c r="G7" s="2" t="n">
        <v>270</v>
      </c>
      <c r="H7" s="4" t="n">
        <v>2118198</v>
      </c>
      <c r="I7" s="5" t="n">
        <v>19.1</v>
      </c>
      <c r="J7" s="4" t="n">
        <v>706066</v>
      </c>
    </row>
    <row r="8">
      <c r="A8" s="2" t="inlineStr">
        <is>
          <t>Total</t>
        </is>
      </c>
      <c r="B8" s="2" t="n">
        <v>2152.5</v>
      </c>
      <c r="C8" s="4" t="n">
        <v>255000</v>
      </c>
      <c r="D8" s="4" t="n">
        <v>99000</v>
      </c>
      <c r="E8" s="4" t="n">
        <v>189750</v>
      </c>
      <c r="F8" s="4" t="n">
        <v>543750</v>
      </c>
      <c r="G8" s="2" t="n">
        <v>1076.3</v>
      </c>
      <c r="H8" s="4" t="n">
        <v>8431333</v>
      </c>
      <c r="I8" s="5" t="n">
        <v>15.5</v>
      </c>
      <c r="J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0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Scenario</t>
        </is>
      </c>
      <c r="C1" s="1" t="inlineStr">
        <is>
          <t>Impact</t>
        </is>
      </c>
      <c r="D1" s="1" t="inlineStr">
        <is>
          <t>Details</t>
        </is>
      </c>
    </row>
    <row r="2">
      <c r="A2" s="2" t="inlineStr">
        <is>
          <t>Sensitivity</t>
        </is>
      </c>
      <c r="B2" s="2" t="inlineStr">
        <is>
          <t>Closing Rate = 60%</t>
        </is>
      </c>
      <c r="C2" s="2" t="inlineStr">
        <is>
          <t>Q6 monthly revenue ~$847k</t>
        </is>
      </c>
      <c r="D2" s="2" t="inlineStr">
        <is>
          <t>Combined - stronger build with higher conversion</t>
        </is>
      </c>
    </row>
    <row r="3">
      <c r="A3" s="2" t="inlineStr">
        <is>
          <t>Sensitivity</t>
        </is>
      </c>
      <c r="B3" s="2" t="inlineStr">
        <is>
          <t>CPL Rises 20%</t>
        </is>
      </c>
      <c r="C3" s="2" t="inlineStr">
        <is>
          <t>Costs up ~$7k/qtr/location</t>
        </is>
      </c>
      <c r="D3" s="2" t="inlineStr">
        <is>
          <t>ROI drops to 16x in Q6 - still hits $300k target</t>
        </is>
      </c>
    </row>
    <row r="4">
      <c r="A4" s="2" t="inlineStr">
        <is>
          <t>Sensitivity</t>
        </is>
      </c>
      <c r="B4" s="2" t="inlineStr">
        <is>
          <t>Website Delays to Q4 Start</t>
        </is>
      </c>
      <c r="C4" s="2" t="inlineStr">
        <is>
          <t>Q6 monthly falls to ~$658k</t>
        </is>
      </c>
      <c r="D4" s="2" t="inlineStr">
        <is>
          <t>Still above $300k target - emphasizes conservatism</t>
        </is>
      </c>
    </row>
    <row r="5">
      <c r="A5" s="2" t="inlineStr"/>
      <c r="B5" s="2" t="inlineStr"/>
      <c r="C5" s="2" t="inlineStr"/>
      <c r="D5" s="2" t="inlineStr"/>
    </row>
    <row r="6">
      <c r="A6" s="2" t="inlineStr">
        <is>
          <t>Recommendation</t>
        </is>
      </c>
      <c r="B6" s="2" t="inlineStr">
        <is>
          <t>Accelerate Strategy</t>
        </is>
      </c>
      <c r="C6" s="2" t="inlineStr">
        <is>
          <t>Introduce plumbing keywords in Q3</t>
        </is>
      </c>
      <c r="D6" s="2" t="inlineStr">
        <is>
          <t>Lower CPL 10-20%</t>
        </is>
      </c>
    </row>
    <row r="7">
      <c r="A7" s="2" t="inlineStr">
        <is>
          <t>Recommendation</t>
        </is>
      </c>
      <c r="B7" s="2" t="inlineStr">
        <is>
          <t>Accelerate Strategy</t>
        </is>
      </c>
      <c r="C7" s="2" t="inlineStr">
        <is>
          <t>Add GBPs in Q2</t>
        </is>
      </c>
      <c r="D7" s="2" t="inlineStr">
        <is>
          <t>+20-30 leads/mo by Q4</t>
        </is>
      </c>
    </row>
    <row r="8">
      <c r="A8" s="2" t="inlineStr"/>
      <c r="B8" s="2" t="inlineStr"/>
      <c r="C8" s="2" t="inlineStr"/>
      <c r="D8" s="2" t="inlineStr"/>
    </row>
    <row r="9">
      <c r="A9" s="2" t="inlineStr">
        <is>
          <t>Conservatism Note</t>
        </is>
      </c>
      <c r="B9" s="2" t="inlineStr">
        <is>
          <t>Slower Website Ramp</t>
        </is>
      </c>
      <c r="C9" s="2" t="inlineStr">
        <is>
          <t>Delays early revenue</t>
        </is>
      </c>
      <c r="D9" s="2" t="inlineStr">
        <is>
          <t>~$498k total in Q1-Q2 vs faster scenarios</t>
        </is>
      </c>
    </row>
    <row r="10">
      <c r="A10" s="2" t="inlineStr">
        <is>
          <t>Conservatism Note</t>
        </is>
      </c>
      <c r="B10" s="2" t="inlineStr">
        <is>
          <t>Realistic Scaling</t>
        </is>
      </c>
      <c r="C10" s="2" t="inlineStr">
        <is>
          <t>Ensures no overpromising</t>
        </is>
      </c>
      <c r="D10" s="2" t="inlineStr">
        <is>
          <t>Conservative but achievable targets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Feasibility</t>
        </is>
      </c>
      <c r="B12" s="2" t="inlineStr">
        <is>
          <t>Q6 Monthly Target</t>
        </is>
      </c>
      <c r="C12" s="2" t="inlineStr">
        <is>
          <t>~$706k/month</t>
        </is>
      </c>
      <c r="D12" s="2" t="inlineStr">
        <is>
          <t>Exceeds $300k target</t>
        </is>
      </c>
    </row>
    <row r="13">
      <c r="A13" s="2" t="inlineStr">
        <is>
          <t>Feasibility</t>
        </is>
      </c>
      <c r="B13" s="2" t="inlineStr">
        <is>
          <t>18-Month Total Revenue</t>
        </is>
      </c>
      <c r="C13" s="2" t="inlineStr">
        <is>
          <t>~$8.43M</t>
        </is>
      </c>
      <c r="D13" s="2" t="inlineStr">
        <is>
          <t>Based on provided data</t>
        </is>
      </c>
    </row>
    <row r="14">
      <c r="A14" s="2" t="inlineStr"/>
      <c r="B14" s="2" t="inlineStr"/>
      <c r="C14" s="2" t="inlineStr"/>
      <c r="D14" s="2" t="inlineStr"/>
    </row>
    <row r="15">
      <c r="A15" s="2" t="inlineStr">
        <is>
          <t>Formula</t>
        </is>
      </c>
      <c r="B15" s="2" t="inlineStr">
        <is>
          <t>Qualified Leads Qtr</t>
        </is>
      </c>
      <c r="C15" s="2">
        <f>Max Monthly * Ramp * Qualified % * 3</f>
        <v/>
      </c>
      <c r="D15" s="2" t="inlineStr">
        <is>
          <t>3 months per quarter</t>
        </is>
      </c>
    </row>
    <row r="16">
      <c r="A16" s="2" t="inlineStr">
        <is>
          <t>Formula</t>
        </is>
      </c>
      <c r="B16" s="2" t="inlineStr">
        <is>
          <t>Ad Spend Qtr</t>
        </is>
      </c>
      <c r="C16" s="2">
        <f>Base * Ramp * 3</f>
        <v/>
      </c>
      <c r="D16" s="2" t="inlineStr">
        <is>
          <t>Scaled by ad ramp</t>
        </is>
      </c>
    </row>
    <row r="17">
      <c r="A17" s="2" t="inlineStr">
        <is>
          <t>Formula</t>
        </is>
      </c>
      <c r="B17" s="2" t="inlineStr">
        <is>
          <t>CPL Cost Qtr</t>
        </is>
      </c>
      <c r="C17" s="2">
        <f>PPC Leads Qtr * CPL</f>
        <v/>
      </c>
      <c r="D17" s="2" t="inlineStr"/>
    </row>
    <row r="18">
      <c r="A18" s="2" t="inlineStr">
        <is>
          <t>Formula</t>
        </is>
      </c>
      <c r="B18" s="2" t="inlineStr">
        <is>
          <t>Jobs Qtr</t>
        </is>
      </c>
      <c r="C18" s="2">
        <f>Total Leads Qtr * Closing Rate</f>
        <v/>
      </c>
      <c r="D18" s="2" t="inlineStr"/>
    </row>
    <row r="19">
      <c r="A19" s="2" t="inlineStr">
        <is>
          <t>Formula</t>
        </is>
      </c>
      <c r="B19" s="2" t="inlineStr">
        <is>
          <t>Revenue Qtr</t>
        </is>
      </c>
      <c r="C19" s="2">
        <f>Jobs Qtr * LTV</f>
        <v/>
      </c>
      <c r="D19" s="2" t="inlineStr"/>
    </row>
    <row r="20">
      <c r="A20" s="2" t="inlineStr">
        <is>
          <t>Formula</t>
        </is>
      </c>
      <c r="B20" s="2" t="inlineStr">
        <is>
          <t>ROI</t>
        </is>
      </c>
      <c r="C20" s="2">
        <f>Revenue / Total Cost</f>
        <v/>
      </c>
      <c r="D20" s="2" t="inlineStr">
        <is>
          <t>If cost 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2026-02-05T17:44:42Z</dcterms:created>
  <dcterms:modified xsi:type="dcterms:W3CDTF">2026-02-05T17:44:42Z</dcterms:modified>
</cp:coreProperties>
</file>