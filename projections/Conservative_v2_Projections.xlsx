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Tucson Projections" sheetId="2" state="visible" r:id="rId2"/>
    <sheet name="Denver Projections" sheetId="3" state="visible" r:id="rId3"/>
    <sheet name="Combined Summary" sheetId="4" state="visible" r:id="rId4"/>
    <sheet name="Sensitivitie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#,##0.0"/>
    <numFmt numFmtId="166" formatCode="0.0&quot;x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b val="1"/>
      <color rgb="00006100"/>
      <sz val="14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164" fontId="0" fillId="4" borderId="1" pivotButton="0" quotePrefix="0" xfId="0"/>
    <xf numFmtId="9" fontId="0" fillId="4" borderId="1" pivotButton="0" quotePrefix="0" xfId="0"/>
    <xf numFmtId="0" fontId="0" fillId="4" borderId="1" pivotButton="0" quotePrefix="0" xfId="0"/>
    <xf numFmtId="164" fontId="0" fillId="0" borderId="1" pivotButton="0" quotePrefix="0" xfId="0"/>
    <xf numFmtId="9" fontId="0" fillId="5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5" fontId="2" fillId="6" borderId="1" applyAlignment="1" pivotButton="0" quotePrefix="0" xfId="0">
      <alignment horizontal="center"/>
    </xf>
    <xf numFmtId="164" fontId="2" fillId="6" borderId="1" applyAlignment="1" pivotButton="0" quotePrefix="0" xfId="0">
      <alignment horizontal="center"/>
    </xf>
    <xf numFmtId="166" fontId="2" fillId="6" borderId="1" applyAlignment="1" pivotButton="0" quotePrefix="0" xfId="0">
      <alignment horizontal="center"/>
    </xf>
    <xf numFmtId="9" fontId="0" fillId="7" borderId="1" applyAlignment="1" pivotButton="0" quotePrefix="0" xfId="0">
      <alignment horizontal="center"/>
    </xf>
    <xf numFmtId="9" fontId="0" fillId="8" borderId="1" applyAlignment="1" pivotButton="0" quotePrefix="0" xfId="0">
      <alignment horizontal="center"/>
    </xf>
    <xf numFmtId="9" fontId="0" fillId="9" borderId="1" applyAlignment="1" pivotButton="0" quotePrefix="0" xfId="0">
      <alignment horizontal="center"/>
    </xf>
    <xf numFmtId="9" fontId="2" fillId="6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9" fontId="3" fillId="0" borderId="1" applyAlignment="1" pivotButton="0" quotePrefix="0" xfId="0">
      <alignment horizontal="center"/>
    </xf>
    <xf numFmtId="164" fontId="4" fillId="9" borderId="1" applyAlignment="1" pivotButton="0" quotePrefix="0" xfId="0">
      <alignment horizontal="center"/>
    </xf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7" customWidth="1" min="3" max="3"/>
    <col width="30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Notes</t>
        </is>
      </c>
      <c r="E1" s="1" t="inlineStr">
        <is>
          <t>Adjustable?</t>
        </is>
      </c>
    </row>
    <row r="2">
      <c r="A2" s="2" t="inlineStr">
        <is>
          <t>GENERAL INPUTS</t>
        </is>
      </c>
      <c r="B2" s="2" t="inlineStr"/>
      <c r="C2" s="2" t="inlineStr"/>
      <c r="D2" s="2" t="inlineStr"/>
      <c r="E2" s="2" t="inlineStr"/>
    </row>
    <row r="3">
      <c r="A3" s="3" t="inlineStr">
        <is>
          <t>General</t>
        </is>
      </c>
      <c r="B3" s="3" t="inlineStr">
        <is>
          <t>Monthly Mgmt Fee (Both Locations)</t>
        </is>
      </c>
      <c r="C3" s="4" t="n">
        <v>5500</v>
      </c>
      <c r="D3" s="3" t="inlineStr">
        <is>
          <t>Split 50/50 = $2,750/location</t>
        </is>
      </c>
      <c r="E3" s="3" t="inlineStr">
        <is>
          <t>YES</t>
        </is>
      </c>
    </row>
    <row r="4">
      <c r="A4" s="3" t="inlineStr">
        <is>
          <t>General</t>
        </is>
      </c>
      <c r="B4" s="3" t="inlineStr">
        <is>
          <t>Qualified Lead % (of all calls)</t>
        </is>
      </c>
      <c r="C4" s="5" t="n">
        <v>0.5</v>
      </c>
      <c r="D4" s="3" t="inlineStr">
        <is>
          <t>Industry avg: 40-60%</t>
        </is>
      </c>
      <c r="E4" s="3" t="inlineStr">
        <is>
          <t>YES</t>
        </is>
      </c>
    </row>
    <row r="5">
      <c r="A5" s="3" t="inlineStr">
        <is>
          <t>General</t>
        </is>
      </c>
      <c r="B5" s="3" t="inlineStr">
        <is>
          <t>Closing Rate (Qualified → Job)</t>
        </is>
      </c>
      <c r="C5" s="5" t="n">
        <v>0.5</v>
      </c>
      <c r="D5" s="3" t="inlineStr">
        <is>
          <t>Conservative: 50%</t>
        </is>
      </c>
      <c r="E5" s="3" t="inlineStr">
        <is>
          <t>YES</t>
        </is>
      </c>
    </row>
    <row r="6">
      <c r="A6" s="3" t="inlineStr"/>
      <c r="B6" s="3" t="inlineStr"/>
      <c r="C6" s="3" t="inlineStr"/>
      <c r="D6" s="3" t="inlineStr"/>
      <c r="E6" s="3" t="inlineStr"/>
    </row>
    <row r="7">
      <c r="A7" s="2" t="inlineStr">
        <is>
          <t>TUCSON MARKET DATA</t>
        </is>
      </c>
      <c r="B7" s="2" t="inlineStr"/>
      <c r="C7" s="2" t="inlineStr"/>
      <c r="D7" s="2" t="inlineStr"/>
      <c r="E7" s="2" t="inlineStr"/>
    </row>
    <row r="8">
      <c r="A8" s="3" t="inlineStr">
        <is>
          <t>Tucson</t>
        </is>
      </c>
      <c r="B8" s="3" t="inlineStr">
        <is>
          <t>Max Monthly Website Leads</t>
        </is>
      </c>
      <c r="C8" s="6" t="n">
        <v>20</v>
      </c>
      <c r="D8" s="3" t="inlineStr">
        <is>
          <t>At full 18-month maturity</t>
        </is>
      </c>
      <c r="E8" s="3" t="inlineStr">
        <is>
          <t>YES</t>
        </is>
      </c>
    </row>
    <row r="9">
      <c r="A9" s="3" t="inlineStr">
        <is>
          <t>Tucson</t>
        </is>
      </c>
      <c r="B9" s="3" t="inlineStr">
        <is>
          <t>Max Monthly PPC Leads</t>
        </is>
      </c>
      <c r="C9" s="6" t="n">
        <v>15</v>
      </c>
      <c r="D9" s="3" t="inlineStr">
        <is>
          <t>At full ad spend</t>
        </is>
      </c>
      <c r="E9" s="3" t="inlineStr">
        <is>
          <t>YES</t>
        </is>
      </c>
    </row>
    <row r="10">
      <c r="A10" s="3" t="inlineStr">
        <is>
          <t>Tucson</t>
        </is>
      </c>
      <c r="B10" s="3" t="inlineStr">
        <is>
          <t>Max Monthly GBP Leads</t>
        </is>
      </c>
      <c r="C10" s="6" t="n">
        <v>30</v>
      </c>
      <c r="D10" s="3" t="inlineStr">
        <is>
          <t>At full GBP maturity</t>
        </is>
      </c>
      <c r="E10" s="3" t="inlineStr">
        <is>
          <t>YES</t>
        </is>
      </c>
    </row>
    <row r="11">
      <c r="A11" s="3" t="inlineStr">
        <is>
          <t>Tucson</t>
        </is>
      </c>
      <c r="B11" s="3" t="inlineStr">
        <is>
          <t>Cost Per Qualified Lead (PPC)</t>
        </is>
      </c>
      <c r="C11" s="4" t="n">
        <v>700</v>
      </c>
      <c r="D11" s="3" t="inlineStr">
        <is>
          <t>Water damage CPL</t>
        </is>
      </c>
      <c r="E11" s="3" t="inlineStr">
        <is>
          <t>YES</t>
        </is>
      </c>
    </row>
    <row r="12">
      <c r="A12" s="3" t="inlineStr">
        <is>
          <t>Tucson</t>
        </is>
      </c>
      <c r="B12" s="3" t="inlineStr">
        <is>
          <t>Mitigation Average</t>
        </is>
      </c>
      <c r="C12" s="4" t="n">
        <v>4589</v>
      </c>
      <c r="D12" s="3" t="inlineStr">
        <is>
          <t>Per job, from client data</t>
        </is>
      </c>
      <c r="E12" s="3" t="inlineStr">
        <is>
          <t>YES</t>
        </is>
      </c>
    </row>
    <row r="13">
      <c r="A13" s="3" t="inlineStr">
        <is>
          <t>Tucson</t>
        </is>
      </c>
      <c r="B13" s="3" t="inlineStr">
        <is>
          <t>Abatement Average</t>
        </is>
      </c>
      <c r="C13" s="4" t="n">
        <v>7484</v>
      </c>
      <c r="D13" s="3" t="inlineStr">
        <is>
          <t>Per job, from client data</t>
        </is>
      </c>
      <c r="E13" s="3" t="inlineStr">
        <is>
          <t>YES</t>
        </is>
      </c>
    </row>
    <row r="14">
      <c r="A14" s="3" t="inlineStr">
        <is>
          <t>Tucson</t>
        </is>
      </c>
      <c r="B14" s="3" t="inlineStr">
        <is>
          <t>Abatement Conversion %</t>
        </is>
      </c>
      <c r="C14" s="5" t="n">
        <v>0.3</v>
      </c>
      <c r="D14" s="3" t="inlineStr">
        <is>
          <t>30% of mit → abate</t>
        </is>
      </c>
      <c r="E14" s="3" t="inlineStr">
        <is>
          <t>YES</t>
        </is>
      </c>
    </row>
    <row r="15">
      <c r="A15" s="3" t="inlineStr">
        <is>
          <t>Tucson</t>
        </is>
      </c>
      <c r="B15" s="3" t="inlineStr">
        <is>
          <t>Reconstruction Average</t>
        </is>
      </c>
      <c r="C15" s="4" t="n">
        <v>7452</v>
      </c>
      <c r="D15" s="3" t="inlineStr">
        <is>
          <t>Per job, from client data</t>
        </is>
      </c>
      <c r="E15" s="3" t="inlineStr">
        <is>
          <t>YES</t>
        </is>
      </c>
    </row>
    <row r="16">
      <c r="A16" s="3" t="inlineStr">
        <is>
          <t>Tucson</t>
        </is>
      </c>
      <c r="B16" s="3" t="inlineStr">
        <is>
          <t>Reconstruction Conversion %</t>
        </is>
      </c>
      <c r="C16" s="5" t="n">
        <v>0.55</v>
      </c>
      <c r="D16" s="3" t="inlineStr">
        <is>
          <t>55% of mit → recon</t>
        </is>
      </c>
      <c r="E16" s="3" t="inlineStr">
        <is>
          <t>YES</t>
        </is>
      </c>
    </row>
    <row r="17">
      <c r="A17" s="3" t="inlineStr">
        <is>
          <t>Tucson</t>
        </is>
      </c>
      <c r="B17" s="3" t="inlineStr">
        <is>
          <t>LTV Per Job (Calculated)</t>
        </is>
      </c>
      <c r="C17" s="7" t="n">
        <v>10933</v>
      </c>
      <c r="D17" s="3" t="inlineStr">
        <is>
          <t>Mit + (Abate% × Abate) + (Recon% × Recon)</t>
        </is>
      </c>
      <c r="E17" s="3" t="inlineStr">
        <is>
          <t>AUTO</t>
        </is>
      </c>
    </row>
    <row r="18">
      <c r="A18" s="3" t="inlineStr"/>
      <c r="B18" s="3" t="inlineStr"/>
      <c r="C18" s="3" t="inlineStr"/>
      <c r="D18" s="3" t="inlineStr"/>
      <c r="E18" s="3" t="inlineStr"/>
    </row>
    <row r="19">
      <c r="A19" s="2" t="inlineStr">
        <is>
          <t>DENVER MARKET DATA</t>
        </is>
      </c>
      <c r="B19" s="2" t="inlineStr"/>
      <c r="C19" s="2" t="inlineStr"/>
      <c r="D19" s="2" t="inlineStr"/>
      <c r="E19" s="2" t="inlineStr"/>
    </row>
    <row r="20">
      <c r="A20" s="3" t="inlineStr">
        <is>
          <t>Denver</t>
        </is>
      </c>
      <c r="B20" s="3" t="inlineStr">
        <is>
          <t>Max Monthly Website Leads</t>
        </is>
      </c>
      <c r="C20" s="6" t="n">
        <v>35</v>
      </c>
      <c r="D20" s="3" t="inlineStr">
        <is>
          <t>At full 18-month maturity</t>
        </is>
      </c>
      <c r="E20" s="3" t="inlineStr">
        <is>
          <t>YES</t>
        </is>
      </c>
    </row>
    <row r="21">
      <c r="A21" s="3" t="inlineStr">
        <is>
          <t>Denver</t>
        </is>
      </c>
      <c r="B21" s="3" t="inlineStr">
        <is>
          <t>Max Monthly PPC Leads</t>
        </is>
      </c>
      <c r="C21" s="6" t="n">
        <v>30</v>
      </c>
      <c r="D21" s="3" t="inlineStr">
        <is>
          <t>At full ad spend</t>
        </is>
      </c>
      <c r="E21" s="3" t="inlineStr">
        <is>
          <t>YES</t>
        </is>
      </c>
    </row>
    <row r="22">
      <c r="A22" s="3" t="inlineStr">
        <is>
          <t>Denver</t>
        </is>
      </c>
      <c r="B22" s="3" t="inlineStr">
        <is>
          <t>Max Monthly GBP Leads</t>
        </is>
      </c>
      <c r="C22" s="6" t="n">
        <v>50</v>
      </c>
      <c r="D22" s="3" t="inlineStr">
        <is>
          <t>At full GBP maturity</t>
        </is>
      </c>
      <c r="E22" s="3" t="inlineStr">
        <is>
          <t>YES</t>
        </is>
      </c>
    </row>
    <row r="23">
      <c r="A23" s="3" t="inlineStr">
        <is>
          <t>Denver</t>
        </is>
      </c>
      <c r="B23" s="3" t="inlineStr">
        <is>
          <t>Cost Per Qualified Lead (PPC)</t>
        </is>
      </c>
      <c r="C23" s="4" t="n">
        <v>800</v>
      </c>
      <c r="D23" s="3" t="inlineStr">
        <is>
          <t>Water damage CPL</t>
        </is>
      </c>
      <c r="E23" s="3" t="inlineStr">
        <is>
          <t>YES</t>
        </is>
      </c>
    </row>
    <row r="24">
      <c r="A24" s="3" t="inlineStr">
        <is>
          <t>Denver</t>
        </is>
      </c>
      <c r="B24" s="3" t="inlineStr">
        <is>
          <t>Mitigation Average</t>
        </is>
      </c>
      <c r="C24" s="4" t="n">
        <v>6100</v>
      </c>
      <c r="D24" s="3" t="inlineStr">
        <is>
          <t>Per job, from client data</t>
        </is>
      </c>
      <c r="E24" s="3" t="inlineStr">
        <is>
          <t>YES</t>
        </is>
      </c>
    </row>
    <row r="25">
      <c r="A25" s="3" t="inlineStr">
        <is>
          <t>Denver</t>
        </is>
      </c>
      <c r="B25" s="3" t="inlineStr">
        <is>
          <t>Recon Referral Fee</t>
        </is>
      </c>
      <c r="C25" s="6" t="n">
        <v>0</v>
      </c>
      <c r="D25" s="3" t="inlineStr">
        <is>
          <t>Refer out, no direct rev</t>
        </is>
      </c>
      <c r="E25" s="3" t="inlineStr">
        <is>
          <t>YES</t>
        </is>
      </c>
    </row>
    <row r="26">
      <c r="A26" s="3" t="inlineStr">
        <is>
          <t>Denver</t>
        </is>
      </c>
      <c r="B26" s="3" t="inlineStr">
        <is>
          <t>LTV Per Job (Calculated)</t>
        </is>
      </c>
      <c r="C26" s="7" t="n">
        <v>6100</v>
      </c>
      <c r="D26" s="3" t="inlineStr">
        <is>
          <t>Mit + Referral Fee</t>
        </is>
      </c>
      <c r="E26" s="3" t="inlineStr">
        <is>
          <t>AUTO</t>
        </is>
      </c>
    </row>
    <row r="27">
      <c r="A27" s="3" t="inlineStr"/>
      <c r="B27" s="3" t="inlineStr"/>
      <c r="C27" s="3" t="inlineStr"/>
      <c r="D27" s="3" t="inlineStr"/>
      <c r="E27" s="3" t="inlineStr"/>
    </row>
    <row r="28">
      <c r="A28" s="3" t="inlineStr">
        <is>
          <t>RAMP SCHEDULES (Conservative)</t>
        </is>
      </c>
      <c r="B28" s="3" t="inlineStr">
        <is>
          <t>Quarter</t>
        </is>
      </c>
      <c r="C28" s="3" t="inlineStr">
        <is>
          <t>Ads %</t>
        </is>
      </c>
      <c r="D28" s="3" t="inlineStr">
        <is>
          <t>GBP %</t>
        </is>
      </c>
      <c r="E28" s="3" t="inlineStr">
        <is>
          <t>Website %</t>
        </is>
      </c>
    </row>
    <row r="29">
      <c r="A29" s="3" t="inlineStr">
        <is>
          <t>Ramp</t>
        </is>
      </c>
      <c r="B29" s="3" t="inlineStr">
        <is>
          <t>Q1</t>
        </is>
      </c>
      <c r="C29" s="8" t="n">
        <v>0.3</v>
      </c>
      <c r="D29" s="8" t="n">
        <v>0.1</v>
      </c>
      <c r="E29" s="8" t="n">
        <v>0</v>
      </c>
    </row>
    <row r="30">
      <c r="A30" s="3" t="inlineStr">
        <is>
          <t>Ramp</t>
        </is>
      </c>
      <c r="B30" s="3" t="inlineStr">
        <is>
          <t>Q2</t>
        </is>
      </c>
      <c r="C30" s="8" t="n">
        <v>0.6</v>
      </c>
      <c r="D30" s="8" t="n">
        <v>0.25</v>
      </c>
      <c r="E30" s="8" t="n">
        <v>0</v>
      </c>
    </row>
    <row r="31">
      <c r="A31" s="3" t="inlineStr">
        <is>
          <t>Ramp</t>
        </is>
      </c>
      <c r="B31" s="3" t="inlineStr">
        <is>
          <t>Q3</t>
        </is>
      </c>
      <c r="C31" s="8" t="n">
        <v>0.8</v>
      </c>
      <c r="D31" s="8" t="n">
        <v>0.45</v>
      </c>
      <c r="E31" s="8" t="n">
        <v>0.05</v>
      </c>
    </row>
    <row r="32">
      <c r="A32" s="3" t="inlineStr">
        <is>
          <t>Ramp</t>
        </is>
      </c>
      <c r="B32" s="3" t="inlineStr">
        <is>
          <t>Q4</t>
        </is>
      </c>
      <c r="C32" s="8" t="n">
        <v>0.9</v>
      </c>
      <c r="D32" s="8" t="n">
        <v>0.65</v>
      </c>
      <c r="E32" s="8" t="n">
        <v>0.15</v>
      </c>
    </row>
    <row r="33">
      <c r="A33" s="3" t="inlineStr">
        <is>
          <t>Ramp</t>
        </is>
      </c>
      <c r="B33" s="3" t="inlineStr">
        <is>
          <t>Q5</t>
        </is>
      </c>
      <c r="C33" s="8" t="n">
        <v>1</v>
      </c>
      <c r="D33" s="8" t="n">
        <v>0.85</v>
      </c>
      <c r="E33" s="8" t="n">
        <v>0.35</v>
      </c>
    </row>
    <row r="34">
      <c r="A34" s="3" t="inlineStr">
        <is>
          <t>Ramp</t>
        </is>
      </c>
      <c r="B34" s="3" t="inlineStr">
        <is>
          <t>Q6</t>
        </is>
      </c>
      <c r="C34" s="8" t="n">
        <v>1</v>
      </c>
      <c r="D34" s="8" t="n">
        <v>1</v>
      </c>
      <c r="E34" s="8" t="n">
        <v>0.6</v>
      </c>
    </row>
    <row r="35">
      <c r="A35" s="3" t="inlineStr"/>
      <c r="B35" s="3" t="inlineStr"/>
      <c r="C35" s="3" t="inlineStr"/>
      <c r="D35" s="3" t="inlineStr"/>
      <c r="E35" s="3" t="inlineStr"/>
    </row>
    <row r="36">
      <c r="A36" s="2" t="inlineStr">
        <is>
          <t>RAMP JUSTIFICATION</t>
        </is>
      </c>
      <c r="B36" s="2" t="inlineStr"/>
      <c r="C36" s="2" t="inlineStr"/>
      <c r="D36" s="2" t="inlineStr"/>
      <c r="E36" s="2" t="inlineStr"/>
    </row>
    <row r="37">
      <c r="A37" s="3" t="inlineStr">
        <is>
          <t>Ads (Fastest)</t>
        </is>
      </c>
      <c r="B37" s="3" t="inlineStr">
        <is>
          <t>Q1: 30% testing</t>
        </is>
      </c>
      <c r="C37" s="3" t="inlineStr">
        <is>
          <t>Q2: 60% optimizing</t>
        </is>
      </c>
      <c r="D37" s="3" t="inlineStr">
        <is>
          <t>Q5-Q6: 100% mature</t>
        </is>
      </c>
      <c r="E37" s="3" t="inlineStr">
        <is>
          <t>90-day sprint, then scale</t>
        </is>
      </c>
    </row>
    <row r="38">
      <c r="A38" s="3" t="inlineStr">
        <is>
          <t>GBP (Medium)</t>
        </is>
      </c>
      <c r="B38" s="3" t="inlineStr">
        <is>
          <t>Q1: 10% just live</t>
        </is>
      </c>
      <c r="C38" s="3" t="inlineStr">
        <is>
          <t>Q3: 45% building reviews</t>
        </is>
      </c>
      <c r="D38" s="3" t="inlineStr">
        <is>
          <t>Q6: 100% mature</t>
        </is>
      </c>
      <c r="E38" s="3" t="inlineStr">
        <is>
          <t>4-6 month typical build</t>
        </is>
      </c>
    </row>
    <row r="39">
      <c r="A39" s="3" t="inlineStr">
        <is>
          <t>Website (Slowest)</t>
        </is>
      </c>
      <c r="B39" s="3" t="inlineStr">
        <is>
          <t>Q1-Q2: 0% no traffic</t>
        </is>
      </c>
      <c r="C39" s="3" t="inlineStr">
        <is>
          <t>Q3: 5% first rankings</t>
        </is>
      </c>
      <c r="D39" s="3" t="inlineStr">
        <is>
          <t>Q6: 60% still growing</t>
        </is>
      </c>
      <c r="E39" s="3" t="inlineStr">
        <is>
          <t>12-18 months to full maturity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24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24" customWidth="1" min="12" max="12"/>
    <col width="14" customWidth="1" min="13" max="13"/>
  </cols>
  <sheetData>
    <row r="1">
      <c r="A1" s="1" t="inlineStr">
        <is>
          <t>Quarter</t>
        </is>
      </c>
      <c r="B1" s="1" t="inlineStr">
        <is>
          <t>Months</t>
        </is>
      </c>
      <c r="C1" s="1" t="inlineStr">
        <is>
          <t>Website Leads</t>
        </is>
      </c>
      <c r="D1" s="1" t="inlineStr">
        <is>
          <t>PPC Leads</t>
        </is>
      </c>
      <c r="E1" s="1" t="inlineStr">
        <is>
          <t>GBP Leads</t>
        </is>
      </c>
      <c r="F1" s="1" t="inlineStr">
        <is>
          <t>Total Qualified Leads</t>
        </is>
      </c>
      <c r="G1" s="1" t="inlineStr">
        <is>
          <t>Ad Spend (Google)</t>
        </is>
      </c>
      <c r="H1" s="1" t="inlineStr">
        <is>
          <t>Mgmt Fee Share</t>
        </is>
      </c>
      <c r="I1" s="1" t="inlineStr">
        <is>
          <t>Total Cost</t>
        </is>
      </c>
      <c r="J1" s="1" t="inlineStr">
        <is>
          <t>Jobs Closed</t>
        </is>
      </c>
      <c r="K1" s="1" t="inlineStr">
        <is>
          <t>Revenue (Qtr)</t>
        </is>
      </c>
      <c r="L1" s="1" t="inlineStr">
        <is>
          <t>Monthly Revenue (Avg)</t>
        </is>
      </c>
      <c r="M1" s="1" t="inlineStr">
        <is>
          <t>ROI</t>
        </is>
      </c>
    </row>
    <row r="2">
      <c r="A2" s="9" t="inlineStr">
        <is>
          <t>Q1</t>
        </is>
      </c>
      <c r="B2" s="9" t="inlineStr">
        <is>
          <t>1-3</t>
        </is>
      </c>
      <c r="C2" s="10" t="n">
        <v>0</v>
      </c>
      <c r="D2" s="10" t="n">
        <v>6.8</v>
      </c>
      <c r="E2" s="10" t="n">
        <v>4.5</v>
      </c>
      <c r="F2" s="10" t="n">
        <v>11.2</v>
      </c>
      <c r="G2" s="11" t="n">
        <v>4725</v>
      </c>
      <c r="H2" s="11" t="n">
        <v>8250</v>
      </c>
      <c r="I2" s="11" t="n">
        <v>12975</v>
      </c>
      <c r="J2" s="10" t="n">
        <v>5.6</v>
      </c>
      <c r="K2" s="11" t="n">
        <v>61497</v>
      </c>
      <c r="L2" s="11" t="n">
        <v>20499</v>
      </c>
      <c r="M2" s="12" t="n">
        <v>4.7</v>
      </c>
    </row>
    <row r="3">
      <c r="A3" s="9" t="inlineStr">
        <is>
          <t>Q2</t>
        </is>
      </c>
      <c r="B3" s="9" t="inlineStr">
        <is>
          <t>4-6</t>
        </is>
      </c>
      <c r="C3" s="10" t="n">
        <v>0</v>
      </c>
      <c r="D3" s="10" t="n">
        <v>13.5</v>
      </c>
      <c r="E3" s="10" t="n">
        <v>11.2</v>
      </c>
      <c r="F3" s="10" t="n">
        <v>24.8</v>
      </c>
      <c r="G3" s="11" t="n">
        <v>9450</v>
      </c>
      <c r="H3" s="11" t="n">
        <v>8250</v>
      </c>
      <c r="I3" s="11" t="n">
        <v>17700</v>
      </c>
      <c r="J3" s="10" t="n">
        <v>12.4</v>
      </c>
      <c r="K3" s="11" t="n">
        <v>135293</v>
      </c>
      <c r="L3" s="11" t="n">
        <v>45098</v>
      </c>
      <c r="M3" s="12" t="n">
        <v>7.6</v>
      </c>
    </row>
    <row r="4">
      <c r="A4" s="9" t="inlineStr">
        <is>
          <t>Q3</t>
        </is>
      </c>
      <c r="B4" s="9" t="inlineStr">
        <is>
          <t>7-9</t>
        </is>
      </c>
      <c r="C4" s="10" t="n">
        <v>1.5</v>
      </c>
      <c r="D4" s="10" t="n">
        <v>18</v>
      </c>
      <c r="E4" s="10" t="n">
        <v>20.2</v>
      </c>
      <c r="F4" s="10" t="n">
        <v>39.8</v>
      </c>
      <c r="G4" s="11" t="n">
        <v>12600</v>
      </c>
      <c r="H4" s="11" t="n">
        <v>8250</v>
      </c>
      <c r="I4" s="11" t="n">
        <v>20850</v>
      </c>
      <c r="J4" s="10" t="n">
        <v>19.9</v>
      </c>
      <c r="K4" s="11" t="n">
        <v>217289</v>
      </c>
      <c r="L4" s="11" t="n">
        <v>72430</v>
      </c>
      <c r="M4" s="12" t="n">
        <v>10.4</v>
      </c>
    </row>
    <row r="5">
      <c r="A5" s="9" t="inlineStr">
        <is>
          <t>Q4</t>
        </is>
      </c>
      <c r="B5" s="9" t="inlineStr">
        <is>
          <t>10-12</t>
        </is>
      </c>
      <c r="C5" s="10" t="n">
        <v>4.5</v>
      </c>
      <c r="D5" s="10" t="n">
        <v>20.2</v>
      </c>
      <c r="E5" s="10" t="n">
        <v>29.2</v>
      </c>
      <c r="F5" s="10" t="n">
        <v>54</v>
      </c>
      <c r="G5" s="11" t="n">
        <v>14175</v>
      </c>
      <c r="H5" s="11" t="n">
        <v>8250</v>
      </c>
      <c r="I5" s="11" t="n">
        <v>22425</v>
      </c>
      <c r="J5" s="10" t="n">
        <v>27</v>
      </c>
      <c r="K5" s="11" t="n">
        <v>295186</v>
      </c>
      <c r="L5" s="11" t="n">
        <v>98395</v>
      </c>
      <c r="M5" s="12" t="n">
        <v>13.2</v>
      </c>
    </row>
    <row r="6">
      <c r="A6" s="9" t="inlineStr">
        <is>
          <t>Q5</t>
        </is>
      </c>
      <c r="B6" s="9" t="inlineStr">
        <is>
          <t>13-15</t>
        </is>
      </c>
      <c r="C6" s="10" t="n">
        <v>10.5</v>
      </c>
      <c r="D6" s="10" t="n">
        <v>22.5</v>
      </c>
      <c r="E6" s="10" t="n">
        <v>38.2</v>
      </c>
      <c r="F6" s="10" t="n">
        <v>71.2</v>
      </c>
      <c r="G6" s="11" t="n">
        <v>15750</v>
      </c>
      <c r="H6" s="11" t="n">
        <v>8250</v>
      </c>
      <c r="I6" s="11" t="n">
        <v>24000</v>
      </c>
      <c r="J6" s="10" t="n">
        <v>35.6</v>
      </c>
      <c r="K6" s="11" t="n">
        <v>389481</v>
      </c>
      <c r="L6" s="11" t="n">
        <v>129827</v>
      </c>
      <c r="M6" s="12" t="n">
        <v>16.2</v>
      </c>
    </row>
    <row r="7">
      <c r="A7" s="9" t="inlineStr">
        <is>
          <t>Q6</t>
        </is>
      </c>
      <c r="B7" s="9" t="inlineStr">
        <is>
          <t>16-18</t>
        </is>
      </c>
      <c r="C7" s="10" t="n">
        <v>18</v>
      </c>
      <c r="D7" s="10" t="n">
        <v>22.5</v>
      </c>
      <c r="E7" s="10" t="n">
        <v>45</v>
      </c>
      <c r="F7" s="10" t="n">
        <v>85.5</v>
      </c>
      <c r="G7" s="11" t="n">
        <v>15750</v>
      </c>
      <c r="H7" s="11" t="n">
        <v>8250</v>
      </c>
      <c r="I7" s="11" t="n">
        <v>24000</v>
      </c>
      <c r="J7" s="10" t="n">
        <v>42.8</v>
      </c>
      <c r="K7" s="11" t="n">
        <v>467377</v>
      </c>
      <c r="L7" s="11" t="n">
        <v>155792</v>
      </c>
      <c r="M7" s="12" t="n">
        <v>19.5</v>
      </c>
    </row>
    <row r="8">
      <c r="A8" s="13" t="inlineStr">
        <is>
          <t>TOTAL</t>
        </is>
      </c>
      <c r="B8" s="13" t="inlineStr">
        <is>
          <t>1-18</t>
        </is>
      </c>
      <c r="C8" s="14" t="n">
        <v>34.5</v>
      </c>
      <c r="D8" s="14" t="n">
        <v>103.5</v>
      </c>
      <c r="E8" s="14" t="n">
        <v>148.3</v>
      </c>
      <c r="F8" s="14" t="n">
        <v>286.5</v>
      </c>
      <c r="G8" s="15" t="n">
        <v>72450</v>
      </c>
      <c r="H8" s="15" t="n">
        <v>49500</v>
      </c>
      <c r="I8" s="15" t="n">
        <v>121950</v>
      </c>
      <c r="J8" s="14" t="n">
        <v>143.3</v>
      </c>
      <c r="K8" s="15" t="n">
        <v>1566123</v>
      </c>
      <c r="L8" s="15" t="n"/>
      <c r="M8" s="16" t="n">
        <v>12.8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24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24" customWidth="1" min="12" max="12"/>
    <col width="14" customWidth="1" min="13" max="13"/>
  </cols>
  <sheetData>
    <row r="1">
      <c r="A1" s="1" t="inlineStr">
        <is>
          <t>Quarter</t>
        </is>
      </c>
      <c r="B1" s="1" t="inlineStr">
        <is>
          <t>Months</t>
        </is>
      </c>
      <c r="C1" s="1" t="inlineStr">
        <is>
          <t>Website Leads</t>
        </is>
      </c>
      <c r="D1" s="1" t="inlineStr">
        <is>
          <t>PPC Leads</t>
        </is>
      </c>
      <c r="E1" s="1" t="inlineStr">
        <is>
          <t>GBP Leads</t>
        </is>
      </c>
      <c r="F1" s="1" t="inlineStr">
        <is>
          <t>Total Qualified Leads</t>
        </is>
      </c>
      <c r="G1" s="1" t="inlineStr">
        <is>
          <t>Ad Spend (Google)</t>
        </is>
      </c>
      <c r="H1" s="1" t="inlineStr">
        <is>
          <t>Mgmt Fee Share</t>
        </is>
      </c>
      <c r="I1" s="1" t="inlineStr">
        <is>
          <t>Total Cost</t>
        </is>
      </c>
      <c r="J1" s="1" t="inlineStr">
        <is>
          <t>Jobs Closed</t>
        </is>
      </c>
      <c r="K1" s="1" t="inlineStr">
        <is>
          <t>Revenue (Qtr)</t>
        </is>
      </c>
      <c r="L1" s="1" t="inlineStr">
        <is>
          <t>Monthly Revenue (Avg)</t>
        </is>
      </c>
      <c r="M1" s="1" t="inlineStr">
        <is>
          <t>ROI</t>
        </is>
      </c>
    </row>
    <row r="2">
      <c r="A2" s="9" t="inlineStr">
        <is>
          <t>Q1</t>
        </is>
      </c>
      <c r="B2" s="9" t="inlineStr">
        <is>
          <t>1-3</t>
        </is>
      </c>
      <c r="C2" s="10" t="n">
        <v>0</v>
      </c>
      <c r="D2" s="10" t="n">
        <v>13.5</v>
      </c>
      <c r="E2" s="10" t="n">
        <v>7.5</v>
      </c>
      <c r="F2" s="10" t="n">
        <v>21</v>
      </c>
      <c r="G2" s="11" t="n">
        <v>10800</v>
      </c>
      <c r="H2" s="11" t="n">
        <v>8250</v>
      </c>
      <c r="I2" s="11" t="n">
        <v>19050</v>
      </c>
      <c r="J2" s="10" t="n">
        <v>10.5</v>
      </c>
      <c r="K2" s="11" t="n">
        <v>64050</v>
      </c>
      <c r="L2" s="11" t="n">
        <v>21350</v>
      </c>
      <c r="M2" s="12" t="n">
        <v>3.4</v>
      </c>
    </row>
    <row r="3">
      <c r="A3" s="9" t="inlineStr">
        <is>
          <t>Q2</t>
        </is>
      </c>
      <c r="B3" s="9" t="inlineStr">
        <is>
          <t>4-6</t>
        </is>
      </c>
      <c r="C3" s="10" t="n">
        <v>0</v>
      </c>
      <c r="D3" s="10" t="n">
        <v>27</v>
      </c>
      <c r="E3" s="10" t="n">
        <v>18.8</v>
      </c>
      <c r="F3" s="10" t="n">
        <v>45.8</v>
      </c>
      <c r="G3" s="11" t="n">
        <v>21600</v>
      </c>
      <c r="H3" s="11" t="n">
        <v>8250</v>
      </c>
      <c r="I3" s="11" t="n">
        <v>29850</v>
      </c>
      <c r="J3" s="10" t="n">
        <v>22.9</v>
      </c>
      <c r="K3" s="11" t="n">
        <v>139538</v>
      </c>
      <c r="L3" s="11" t="n">
        <v>46512</v>
      </c>
      <c r="M3" s="12" t="n">
        <v>4.7</v>
      </c>
    </row>
    <row r="4">
      <c r="A4" s="9" t="inlineStr">
        <is>
          <t>Q3</t>
        </is>
      </c>
      <c r="B4" s="9" t="inlineStr">
        <is>
          <t>7-9</t>
        </is>
      </c>
      <c r="C4" s="10" t="n">
        <v>2.6</v>
      </c>
      <c r="D4" s="10" t="n">
        <v>36</v>
      </c>
      <c r="E4" s="10" t="n">
        <v>33.8</v>
      </c>
      <c r="F4" s="10" t="n">
        <v>72.40000000000001</v>
      </c>
      <c r="G4" s="11" t="n">
        <v>28800</v>
      </c>
      <c r="H4" s="11" t="n">
        <v>8250</v>
      </c>
      <c r="I4" s="11" t="n">
        <v>37050</v>
      </c>
      <c r="J4" s="10" t="n">
        <v>36.2</v>
      </c>
      <c r="K4" s="11" t="n">
        <v>220744</v>
      </c>
      <c r="L4" s="11" t="n">
        <v>73581</v>
      </c>
      <c r="M4" s="12" t="n">
        <v>6</v>
      </c>
    </row>
    <row r="5">
      <c r="A5" s="9" t="inlineStr">
        <is>
          <t>Q4</t>
        </is>
      </c>
      <c r="B5" s="9" t="inlineStr">
        <is>
          <t>10-12</t>
        </is>
      </c>
      <c r="C5" s="10" t="n">
        <v>7.9</v>
      </c>
      <c r="D5" s="10" t="n">
        <v>40.5</v>
      </c>
      <c r="E5" s="10" t="n">
        <v>48.8</v>
      </c>
      <c r="F5" s="10" t="n">
        <v>97.09999999999999</v>
      </c>
      <c r="G5" s="11" t="n">
        <v>32400</v>
      </c>
      <c r="H5" s="11" t="n">
        <v>8250</v>
      </c>
      <c r="I5" s="11" t="n">
        <v>40650</v>
      </c>
      <c r="J5" s="10" t="n">
        <v>48.6</v>
      </c>
      <c r="K5" s="11" t="n">
        <v>296231</v>
      </c>
      <c r="L5" s="11" t="n">
        <v>98744</v>
      </c>
      <c r="M5" s="12" t="n">
        <v>7.3</v>
      </c>
    </row>
    <row r="6">
      <c r="A6" s="9" t="inlineStr">
        <is>
          <t>Q5</t>
        </is>
      </c>
      <c r="B6" s="9" t="inlineStr">
        <is>
          <t>13-15</t>
        </is>
      </c>
      <c r="C6" s="10" t="n">
        <v>18.4</v>
      </c>
      <c r="D6" s="10" t="n">
        <v>45</v>
      </c>
      <c r="E6" s="10" t="n">
        <v>63.8</v>
      </c>
      <c r="F6" s="10" t="n">
        <v>127.1</v>
      </c>
      <c r="G6" s="11" t="n">
        <v>36000</v>
      </c>
      <c r="H6" s="11" t="n">
        <v>8250</v>
      </c>
      <c r="I6" s="11" t="n">
        <v>44250</v>
      </c>
      <c r="J6" s="10" t="n">
        <v>63.6</v>
      </c>
      <c r="K6" s="11" t="n">
        <v>387731</v>
      </c>
      <c r="L6" s="11" t="n">
        <v>129244</v>
      </c>
      <c r="M6" s="12" t="n">
        <v>8.800000000000001</v>
      </c>
    </row>
    <row r="7">
      <c r="A7" s="9" t="inlineStr">
        <is>
          <t>Q6</t>
        </is>
      </c>
      <c r="B7" s="9" t="inlineStr">
        <is>
          <t>16-18</t>
        </is>
      </c>
      <c r="C7" s="10" t="n">
        <v>31.5</v>
      </c>
      <c r="D7" s="10" t="n">
        <v>45</v>
      </c>
      <c r="E7" s="10" t="n">
        <v>75</v>
      </c>
      <c r="F7" s="10" t="n">
        <v>151.5</v>
      </c>
      <c r="G7" s="11" t="n">
        <v>36000</v>
      </c>
      <c r="H7" s="11" t="n">
        <v>8250</v>
      </c>
      <c r="I7" s="11" t="n">
        <v>44250</v>
      </c>
      <c r="J7" s="10" t="n">
        <v>75.8</v>
      </c>
      <c r="K7" s="11" t="n">
        <v>462075</v>
      </c>
      <c r="L7" s="11" t="n">
        <v>154025</v>
      </c>
      <c r="M7" s="12" t="n">
        <v>10.4</v>
      </c>
    </row>
    <row r="8">
      <c r="A8" s="13" t="inlineStr">
        <is>
          <t>TOTAL</t>
        </is>
      </c>
      <c r="B8" s="13" t="inlineStr">
        <is>
          <t>1-18</t>
        </is>
      </c>
      <c r="C8" s="14" t="n">
        <v>60.4</v>
      </c>
      <c r="D8" s="14" t="n">
        <v>207</v>
      </c>
      <c r="E8" s="14" t="n">
        <v>247.7</v>
      </c>
      <c r="F8" s="14" t="n">
        <v>514.9</v>
      </c>
      <c r="G8" s="15" t="n">
        <v>165600</v>
      </c>
      <c r="H8" s="15" t="n">
        <v>49500</v>
      </c>
      <c r="I8" s="15" t="n">
        <v>215100</v>
      </c>
      <c r="J8" s="14" t="n">
        <v>257.6</v>
      </c>
      <c r="K8" s="15" t="n">
        <v>1570369</v>
      </c>
      <c r="L8" s="15" t="n"/>
      <c r="M8" s="16" t="n">
        <v>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24" customWidth="1" min="5" max="5"/>
    <col width="17" customWidth="1" min="6" max="6"/>
    <col width="18" customWidth="1" min="7" max="7"/>
    <col width="19" customWidth="1" min="8" max="8"/>
    <col width="14" customWidth="1" min="9" max="9"/>
    <col width="22" customWidth="1" min="10" max="10"/>
    <col width="24" customWidth="1" min="11" max="11"/>
    <col width="15" customWidth="1" min="12" max="12"/>
    <col width="22" customWidth="1" min="13" max="13"/>
  </cols>
  <sheetData>
    <row r="1">
      <c r="A1" s="1" t="inlineStr">
        <is>
          <t>Quarter</t>
        </is>
      </c>
      <c r="B1" s="1" t="inlineStr">
        <is>
          <t>Months</t>
        </is>
      </c>
      <c r="C1" s="1" t="inlineStr">
        <is>
          <t>Tucson Leads</t>
        </is>
      </c>
      <c r="D1" s="1" t="inlineStr">
        <is>
          <t>Denver Leads</t>
        </is>
      </c>
      <c r="E1" s="1" t="inlineStr">
        <is>
          <t>Total Qualified Leads</t>
        </is>
      </c>
      <c r="F1" s="1" t="inlineStr">
        <is>
          <t>Total Ad Spend</t>
        </is>
      </c>
      <c r="G1" s="1" t="inlineStr">
        <is>
          <t>Total Mgmt Fees</t>
        </is>
      </c>
      <c r="H1" s="1" t="inlineStr">
        <is>
          <t>Total Investment</t>
        </is>
      </c>
      <c r="I1" s="1" t="inlineStr">
        <is>
          <t>Total Jobs</t>
        </is>
      </c>
      <c r="J1" s="1" t="inlineStr">
        <is>
          <t>Total Revenue (Qtr)</t>
        </is>
      </c>
      <c r="K1" s="1" t="inlineStr">
        <is>
          <t>Monthly Revenue (Avg)</t>
        </is>
      </c>
      <c r="L1" s="1" t="inlineStr">
        <is>
          <t>Combined ROI</t>
        </is>
      </c>
      <c r="M1" s="1" t="inlineStr">
        <is>
          <t>$300k Goal Progress</t>
        </is>
      </c>
    </row>
    <row r="2">
      <c r="A2" s="9" t="inlineStr">
        <is>
          <t>Q1</t>
        </is>
      </c>
      <c r="B2" s="9" t="inlineStr">
        <is>
          <t>1-3</t>
        </is>
      </c>
      <c r="C2" s="10" t="n">
        <v>11.2</v>
      </c>
      <c r="D2" s="10" t="n">
        <v>21</v>
      </c>
      <c r="E2" s="10" t="n">
        <v>32.2</v>
      </c>
      <c r="F2" s="11" t="n">
        <v>15525</v>
      </c>
      <c r="G2" s="11" t="n">
        <v>16500</v>
      </c>
      <c r="H2" s="11" t="n">
        <v>32025</v>
      </c>
      <c r="I2" s="10" t="n">
        <v>16.1</v>
      </c>
      <c r="J2" s="11" t="n">
        <v>125547</v>
      </c>
      <c r="K2" s="11" t="n">
        <v>41849</v>
      </c>
      <c r="L2" s="12" t="n">
        <v>3.9</v>
      </c>
      <c r="M2" s="17" t="n">
        <v>0.1394966666666667</v>
      </c>
    </row>
    <row r="3">
      <c r="A3" s="9" t="inlineStr">
        <is>
          <t>Q2</t>
        </is>
      </c>
      <c r="B3" s="9" t="inlineStr">
        <is>
          <t>4-6</t>
        </is>
      </c>
      <c r="C3" s="10" t="n">
        <v>24.8</v>
      </c>
      <c r="D3" s="10" t="n">
        <v>45.8</v>
      </c>
      <c r="E3" s="10" t="n">
        <v>70.59999999999999</v>
      </c>
      <c r="F3" s="11" t="n">
        <v>31050</v>
      </c>
      <c r="G3" s="11" t="n">
        <v>16500</v>
      </c>
      <c r="H3" s="11" t="n">
        <v>47550</v>
      </c>
      <c r="I3" s="10" t="n">
        <v>35.3</v>
      </c>
      <c r="J3" s="11" t="n">
        <v>274831</v>
      </c>
      <c r="K3" s="11" t="n">
        <v>91610</v>
      </c>
      <c r="L3" s="12" t="n">
        <v>5.8</v>
      </c>
      <c r="M3" s="17" t="n">
        <v>0.3053677777777777</v>
      </c>
    </row>
    <row r="4">
      <c r="A4" s="9" t="inlineStr">
        <is>
          <t>Q3</t>
        </is>
      </c>
      <c r="B4" s="9" t="inlineStr">
        <is>
          <t>7-9</t>
        </is>
      </c>
      <c r="C4" s="10" t="n">
        <v>39.8</v>
      </c>
      <c r="D4" s="10" t="n">
        <v>72.40000000000001</v>
      </c>
      <c r="E4" s="10" t="n">
        <v>112.2</v>
      </c>
      <c r="F4" s="11" t="n">
        <v>41400</v>
      </c>
      <c r="G4" s="11" t="n">
        <v>16500</v>
      </c>
      <c r="H4" s="11" t="n">
        <v>57900</v>
      </c>
      <c r="I4" s="10" t="n">
        <v>56.1</v>
      </c>
      <c r="J4" s="11" t="n">
        <v>438033</v>
      </c>
      <c r="K4" s="11" t="n">
        <v>146011</v>
      </c>
      <c r="L4" s="12" t="n">
        <v>7.6</v>
      </c>
      <c r="M4" s="17" t="n">
        <v>0.4867033333333333</v>
      </c>
    </row>
    <row r="5">
      <c r="A5" s="9" t="inlineStr">
        <is>
          <t>Q4</t>
        </is>
      </c>
      <c r="B5" s="9" t="inlineStr">
        <is>
          <t>10-12</t>
        </is>
      </c>
      <c r="C5" s="10" t="n">
        <v>54</v>
      </c>
      <c r="D5" s="10" t="n">
        <v>97.09999999999999</v>
      </c>
      <c r="E5" s="10" t="n">
        <v>151.1</v>
      </c>
      <c r="F5" s="11" t="n">
        <v>46575</v>
      </c>
      <c r="G5" s="11" t="n">
        <v>16500</v>
      </c>
      <c r="H5" s="11" t="n">
        <v>63075</v>
      </c>
      <c r="I5" s="10" t="n">
        <v>75.59999999999999</v>
      </c>
      <c r="J5" s="11" t="n">
        <v>591417</v>
      </c>
      <c r="K5" s="11" t="n">
        <v>197139</v>
      </c>
      <c r="L5" s="12" t="n">
        <v>9.4</v>
      </c>
      <c r="M5" s="17" t="n">
        <v>0.65713</v>
      </c>
    </row>
    <row r="6">
      <c r="A6" s="9" t="inlineStr">
        <is>
          <t>Q5</t>
        </is>
      </c>
      <c r="B6" s="9" t="inlineStr">
        <is>
          <t>13-15</t>
        </is>
      </c>
      <c r="C6" s="10" t="n">
        <v>71.2</v>
      </c>
      <c r="D6" s="10" t="n">
        <v>127.1</v>
      </c>
      <c r="E6" s="10" t="n">
        <v>198.3</v>
      </c>
      <c r="F6" s="11" t="n">
        <v>51750</v>
      </c>
      <c r="G6" s="11" t="n">
        <v>16500</v>
      </c>
      <c r="H6" s="11" t="n">
        <v>68250</v>
      </c>
      <c r="I6" s="10" t="n">
        <v>99.2</v>
      </c>
      <c r="J6" s="11" t="n">
        <v>777212</v>
      </c>
      <c r="K6" s="11" t="n">
        <v>259071</v>
      </c>
      <c r="L6" s="12" t="n">
        <v>11.4</v>
      </c>
      <c r="M6" s="18" t="n">
        <v>0.8635688888888888</v>
      </c>
    </row>
    <row r="7">
      <c r="A7" s="9" t="inlineStr">
        <is>
          <t>Q6</t>
        </is>
      </c>
      <c r="B7" s="9" t="inlineStr">
        <is>
          <t>16-18</t>
        </is>
      </c>
      <c r="C7" s="10" t="n">
        <v>85.5</v>
      </c>
      <c r="D7" s="10" t="n">
        <v>151.5</v>
      </c>
      <c r="E7" s="10" t="n">
        <v>237</v>
      </c>
      <c r="F7" s="11" t="n">
        <v>51750</v>
      </c>
      <c r="G7" s="11" t="n">
        <v>16500</v>
      </c>
      <c r="H7" s="11" t="n">
        <v>68250</v>
      </c>
      <c r="I7" s="10" t="n">
        <v>118.6</v>
      </c>
      <c r="J7" s="11" t="n">
        <v>929452</v>
      </c>
      <c r="K7" s="11" t="n">
        <v>309817</v>
      </c>
      <c r="L7" s="12" t="n">
        <v>13.6</v>
      </c>
      <c r="M7" s="19" t="n">
        <v>1.032724444444444</v>
      </c>
    </row>
    <row r="8">
      <c r="A8" s="13" t="inlineStr">
        <is>
          <t>TOTAL</t>
        </is>
      </c>
      <c r="B8" s="13" t="inlineStr">
        <is>
          <t>1-18</t>
        </is>
      </c>
      <c r="C8" s="14" t="n">
        <v>286.5</v>
      </c>
      <c r="D8" s="14" t="n">
        <v>514.9</v>
      </c>
      <c r="E8" s="14" t="n">
        <v>801.4</v>
      </c>
      <c r="F8" s="15" t="n">
        <v>238050</v>
      </c>
      <c r="G8" s="15" t="n">
        <v>99000</v>
      </c>
      <c r="H8" s="15" t="n">
        <v>337050</v>
      </c>
      <c r="I8" s="14" t="n">
        <v>400.9</v>
      </c>
      <c r="J8" s="15" t="n">
        <v>3136492</v>
      </c>
      <c r="K8" s="15" t="n"/>
      <c r="L8" s="16" t="n">
        <v>9.300000000000001</v>
      </c>
      <c r="M8" s="20" t="n"/>
    </row>
    <row r="9">
      <c r="A9" s="9" t="n"/>
      <c r="B9" s="9" t="n"/>
      <c r="C9" s="10" t="n"/>
      <c r="D9" s="10" t="n"/>
      <c r="E9" s="10" t="n"/>
      <c r="F9" s="11" t="n"/>
      <c r="G9" s="11" t="n"/>
      <c r="H9" s="11" t="n"/>
      <c r="I9" s="10" t="n"/>
      <c r="J9" s="11" t="n"/>
      <c r="K9" s="11" t="n"/>
      <c r="L9" s="12" t="n"/>
      <c r="M9" s="21" t="n"/>
    </row>
    <row r="10">
      <c r="A10" s="22" t="inlineStr"/>
      <c r="B10" s="22" t="inlineStr"/>
      <c r="C10" s="23" t="inlineStr"/>
      <c r="D10" s="23" t="inlineStr"/>
      <c r="E10" s="23" t="inlineStr"/>
      <c r="F10" s="24" t="inlineStr"/>
      <c r="G10" s="24" t="inlineStr"/>
      <c r="H10" s="24" t="inlineStr"/>
      <c r="I10" s="23" t="inlineStr"/>
      <c r="J10" s="24" t="inlineStr">
        <is>
          <t>Q6 Monthly Revenue:</t>
        </is>
      </c>
      <c r="K10" s="24" t="n">
        <v>309817</v>
      </c>
      <c r="L10" s="25" t="inlineStr"/>
      <c r="M10" s="26" t="inlineStr"/>
    </row>
    <row r="11">
      <c r="A11" s="22" t="inlineStr"/>
      <c r="B11" s="22" t="inlineStr"/>
      <c r="C11" s="23" t="inlineStr"/>
      <c r="D11" s="23" t="inlineStr"/>
      <c r="E11" s="23" t="inlineStr"/>
      <c r="F11" s="24" t="inlineStr"/>
      <c r="G11" s="24" t="inlineStr"/>
      <c r="H11" s="24" t="inlineStr"/>
      <c r="I11" s="23" t="inlineStr"/>
      <c r="J11" s="24" t="inlineStr">
        <is>
          <t>Target:</t>
        </is>
      </c>
      <c r="K11" s="24" t="n">
        <v>300000</v>
      </c>
      <c r="L11" s="25" t="inlineStr"/>
      <c r="M11" s="26" t="inlineStr"/>
    </row>
    <row r="12">
      <c r="A12" s="22" t="inlineStr"/>
      <c r="B12" s="22" t="inlineStr"/>
      <c r="C12" s="23" t="inlineStr"/>
      <c r="D12" s="23" t="inlineStr"/>
      <c r="E12" s="23" t="inlineStr"/>
      <c r="F12" s="24" t="inlineStr"/>
      <c r="G12" s="24" t="inlineStr"/>
      <c r="H12" s="24" t="inlineStr"/>
      <c r="I12" s="23" t="inlineStr"/>
      <c r="J12" s="24" t="inlineStr">
        <is>
          <t>Status:</t>
        </is>
      </c>
      <c r="K12" s="27" t="inlineStr">
        <is>
          <t>GOAL MET</t>
        </is>
      </c>
      <c r="L12" s="25" t="inlineStr"/>
      <c r="M12" s="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4" customWidth="1" min="3" max="3"/>
    <col width="20" customWidth="1" min="4" max="4"/>
    <col width="30" customWidth="1" min="5" max="5"/>
  </cols>
  <sheetData>
    <row r="1">
      <c r="A1" s="1" t="inlineStr">
        <is>
          <t>Scenario</t>
        </is>
      </c>
      <c r="B1" s="1" t="inlineStr">
        <is>
          <t>Variable</t>
        </is>
      </c>
      <c r="C1" s="1" t="inlineStr">
        <is>
          <t>Change</t>
        </is>
      </c>
      <c r="D1" s="1" t="inlineStr">
        <is>
          <t>Q6 Monthly Impact</t>
        </is>
      </c>
      <c r="E1" s="1" t="inlineStr">
        <is>
          <t>Notes</t>
        </is>
      </c>
    </row>
    <row r="2">
      <c r="A2" s="2" t="inlineStr">
        <is>
          <t>CLOSING RATE SCENARIOS</t>
        </is>
      </c>
      <c r="B2" s="2" t="inlineStr"/>
      <c r="C2" s="2" t="inlineStr"/>
      <c r="D2" s="2" t="inlineStr"/>
      <c r="E2" s="2" t="inlineStr"/>
    </row>
    <row r="3">
      <c r="A3" s="3" t="inlineStr">
        <is>
          <t>Closing Rate +10%</t>
        </is>
      </c>
      <c r="B3" s="3" t="inlineStr">
        <is>
          <t>50% → 60%</t>
        </is>
      </c>
      <c r="C3" s="3" t="inlineStr">
        <is>
          <t>+20% revenue</t>
        </is>
      </c>
      <c r="D3" s="7" t="n">
        <v>371780</v>
      </c>
      <c r="E3" s="3" t="inlineStr">
        <is>
          <t>Strong ops, good phone skills</t>
        </is>
      </c>
    </row>
    <row r="4">
      <c r="A4" s="3" t="inlineStr">
        <is>
          <t>Closing Rate -10%</t>
        </is>
      </c>
      <c r="B4" s="3" t="inlineStr">
        <is>
          <t>50% → 40%</t>
        </is>
      </c>
      <c r="C4" s="3" t="inlineStr">
        <is>
          <t>-20% revenue</t>
        </is>
      </c>
      <c r="D4" s="7" t="n">
        <v>247854</v>
      </c>
      <c r="E4" s="3" t="inlineStr">
        <is>
          <t>Poor intake or slow dispatch</t>
        </is>
      </c>
    </row>
    <row r="5">
      <c r="A5" s="3" t="inlineStr"/>
      <c r="B5" s="3" t="inlineStr"/>
      <c r="C5" s="3" t="inlineStr"/>
      <c r="D5" s="3" t="inlineStr"/>
      <c r="E5" s="3" t="inlineStr"/>
    </row>
    <row r="6">
      <c r="A6" s="2" t="inlineStr">
        <is>
          <t>COST PER LEAD SCENARIOS</t>
        </is>
      </c>
      <c r="B6" s="2" t="inlineStr"/>
      <c r="C6" s="2" t="inlineStr"/>
      <c r="D6" s="2" t="inlineStr"/>
      <c r="E6" s="2" t="inlineStr"/>
    </row>
    <row r="7">
      <c r="A7" s="2" t="inlineStr">
        <is>
          <t>CPL +20%</t>
        </is>
      </c>
      <c r="B7" s="2" t="inlineStr">
        <is>
          <t>Tucson $840, Denver $960</t>
        </is>
      </c>
      <c r="C7" s="2" t="inlineStr">
        <is>
          <t>Higher ad costs</t>
        </is>
      </c>
      <c r="D7" s="28" t="n">
        <v>309817</v>
      </c>
      <c r="E7" s="2" t="inlineStr">
        <is>
          <t>Revenue unchanged, ROI drops ~17%</t>
        </is>
      </c>
    </row>
    <row r="8">
      <c r="A8" s="3" t="inlineStr">
        <is>
          <t>CPL -15% (plumbing keywords)</t>
        </is>
      </c>
      <c r="B8" s="3" t="inlineStr">
        <is>
          <t>Tucson $595, Denver $680</t>
        </is>
      </c>
      <c r="C8" s="3" t="inlineStr">
        <is>
          <t>Lower ad costs</t>
        </is>
      </c>
      <c r="D8" s="7" t="n">
        <v>309817</v>
      </c>
      <c r="E8" s="3" t="inlineStr">
        <is>
          <t>Revenue unchanged, ROI improves ~18%</t>
        </is>
      </c>
    </row>
    <row r="9">
      <c r="A9" s="3" t="inlineStr"/>
      <c r="B9" s="3" t="inlineStr"/>
      <c r="C9" s="3" t="inlineStr"/>
      <c r="D9" s="3" t="inlineStr"/>
      <c r="E9" s="3" t="inlineStr"/>
    </row>
    <row r="10">
      <c r="A10" s="2" t="inlineStr">
        <is>
          <t>TIMELINE SCENARIOS</t>
        </is>
      </c>
      <c r="B10" s="2" t="inlineStr"/>
      <c r="C10" s="2" t="inlineStr"/>
      <c r="D10" s="2" t="inlineStr"/>
      <c r="E10" s="2" t="inlineStr"/>
    </row>
    <row r="11">
      <c r="A11" s="3" t="inlineStr">
        <is>
          <t>Website delays to Q4</t>
        </is>
      </c>
      <c r="B11" s="3" t="inlineStr">
        <is>
          <t>Web ramp: 0/0/0/5/20/45</t>
        </is>
      </c>
      <c r="C11" s="3" t="inlineStr">
        <is>
          <t>Slower organic</t>
        </is>
      </c>
      <c r="D11" s="7" t="n">
        <v>272639</v>
      </c>
      <c r="E11" s="3" t="inlineStr">
        <is>
          <t>Still above $250k/month</t>
        </is>
      </c>
    </row>
    <row r="12">
      <c r="A12" s="3" t="inlineStr">
        <is>
          <t>GBP builds faster</t>
        </is>
      </c>
      <c r="B12" s="3" t="inlineStr">
        <is>
          <t>GBP ramp: 15/35/55/75/95/100</t>
        </is>
      </c>
      <c r="C12" s="3" t="inlineStr">
        <is>
          <t>+10-15% leads</t>
        </is>
      </c>
      <c r="D12" s="7" t="n">
        <v>334602</v>
      </c>
      <c r="E12" s="3" t="inlineStr">
        <is>
          <t>If reviews come in strong</t>
        </is>
      </c>
    </row>
    <row r="13">
      <c r="A13" s="3" t="inlineStr"/>
      <c r="B13" s="3" t="inlineStr"/>
      <c r="C13" s="3" t="inlineStr"/>
      <c r="D13" s="3" t="inlineStr"/>
      <c r="E13" s="3" t="inlineStr"/>
    </row>
    <row r="14">
      <c r="A14" s="2" t="inlineStr">
        <is>
          <t>GROWTH ACCELERATION</t>
        </is>
      </c>
      <c r="B14" s="2" t="inlineStr"/>
      <c r="C14" s="2" t="inlineStr"/>
      <c r="D14" s="2" t="inlineStr"/>
      <c r="E14" s="2" t="inlineStr"/>
    </row>
    <row r="15">
      <c r="A15" s="3" t="inlineStr">
        <is>
          <t>Add plumbing keywords Q3</t>
        </is>
      </c>
      <c r="B15" s="3" t="inlineStr">
        <is>
          <t>New PPC category</t>
        </is>
      </c>
      <c r="C15" s="3" t="inlineStr">
        <is>
          <t>CPL drops 10-20%</t>
        </is>
      </c>
      <c r="D15" s="3" t="inlineStr">
        <is>
          <t>N/A</t>
        </is>
      </c>
      <c r="E15" s="3" t="inlineStr">
        <is>
          <t>Target emergency plumbing searches</t>
        </is>
      </c>
    </row>
    <row r="16">
      <c r="A16" s="3" t="inlineStr">
        <is>
          <t>2nd Denver GBP in Q2</t>
        </is>
      </c>
      <c r="B16" s="3" t="inlineStr">
        <is>
          <t>New location profile</t>
        </is>
      </c>
      <c r="C16" s="3" t="inlineStr">
        <is>
          <t>+20-30 leads/mo by Q4</t>
        </is>
      </c>
      <c r="D16" s="3" t="inlineStr">
        <is>
          <t>N/A</t>
        </is>
      </c>
      <c r="E16" s="3" t="inlineStr">
        <is>
          <t>Target downtown Denver market</t>
        </is>
      </c>
    </row>
    <row r="17">
      <c r="A17" s="3" t="inlineStr">
        <is>
          <t>2nd Tucson GBP in Q4</t>
        </is>
      </c>
      <c r="B17" s="3" t="inlineStr">
        <is>
          <t>New location profile</t>
        </is>
      </c>
      <c r="C17" s="3" t="inlineStr">
        <is>
          <t>+15-20 leads/mo by Q6</t>
        </is>
      </c>
      <c r="D17" s="3" t="inlineStr">
        <is>
          <t>N/A</t>
        </is>
      </c>
      <c r="E17" s="3" t="inlineStr">
        <is>
          <t>Target east Tucson suburbs</t>
        </is>
      </c>
    </row>
    <row r="18">
      <c r="A18" s="3" t="inlineStr"/>
      <c r="B18" s="3" t="inlineStr"/>
      <c r="C18" s="3" t="inlineStr"/>
      <c r="D18" s="3" t="inlineStr"/>
      <c r="E18" s="3" t="inlineStr"/>
    </row>
    <row r="19">
      <c r="A19" s="2" t="inlineStr">
        <is>
          <t>CONSERVATIVE MODEL NOTES</t>
        </is>
      </c>
      <c r="B19" s="2" t="inlineStr"/>
      <c r="C19" s="2" t="inlineStr"/>
      <c r="D19" s="2" t="inlineStr"/>
      <c r="E19" s="2" t="inlineStr"/>
    </row>
    <row r="20">
      <c r="A20" s="3" t="inlineStr">
        <is>
          <t>Ads (PPC)</t>
        </is>
      </c>
      <c r="B20" s="3" t="inlineStr">
        <is>
          <t>Fastest channel</t>
        </is>
      </c>
      <c r="C20" s="3" t="inlineStr">
        <is>
          <t>30% Q1 → 100% Q5</t>
        </is>
      </c>
      <c r="D20" s="3" t="inlineStr"/>
      <c r="E20" s="3" t="inlineStr">
        <is>
          <t>90-day sprint, conservative start</t>
        </is>
      </c>
    </row>
    <row r="21">
      <c r="A21" s="3" t="inlineStr">
        <is>
          <t>GBP (Local SEO)</t>
        </is>
      </c>
      <c r="B21" s="3" t="inlineStr">
        <is>
          <t>Medium channel</t>
        </is>
      </c>
      <c r="C21" s="3" t="inlineStr">
        <is>
          <t>10% Q1 → 100% Q6</t>
        </is>
      </c>
      <c r="D21" s="3" t="inlineStr"/>
      <c r="E21" s="3" t="inlineStr">
        <is>
          <t>Reviews build over 4-6 months</t>
        </is>
      </c>
    </row>
    <row r="22">
      <c r="A22" s="3" t="inlineStr">
        <is>
          <t>Website (Traditional SEO)</t>
        </is>
      </c>
      <c r="B22" s="3" t="inlineStr">
        <is>
          <t>Slowest channel</t>
        </is>
      </c>
      <c r="C22" s="3" t="inlineStr">
        <is>
          <t>0% Q1-Q2 → 60% Q6</t>
        </is>
      </c>
      <c r="D22" s="3" t="inlineStr"/>
      <c r="E22" s="3" t="inlineStr">
        <is>
          <t>12-18 months for real organic traffic</t>
        </is>
      </c>
    </row>
    <row r="23">
      <c r="A23" s="3" t="inlineStr">
        <is>
          <t>Website NOT at 100% by Q6</t>
        </is>
      </c>
      <c r="B23" s="3" t="inlineStr">
        <is>
          <t>Still growing post-Q6</t>
        </is>
      </c>
      <c r="C23" s="3" t="inlineStr">
        <is>
          <t>60% at month 18</t>
        </is>
      </c>
      <c r="D23" s="3" t="inlineStr"/>
      <c r="E23" s="3" t="inlineStr">
        <is>
          <t>Continued growth beyond 18 months</t>
        </is>
      </c>
    </row>
    <row r="24">
      <c r="A24" s="3" t="inlineStr"/>
      <c r="B24" s="3" t="inlineStr"/>
      <c r="C24" s="3" t="inlineStr"/>
      <c r="D24" s="3" t="inlineStr"/>
      <c r="E24" s="3" t="inlineStr"/>
    </row>
    <row r="25">
      <c r="A25" s="2" t="inlineStr">
        <is>
          <t>FORMULAS</t>
        </is>
      </c>
      <c r="B25" s="2" t="inlineStr"/>
      <c r="C25" s="2" t="inlineStr"/>
      <c r="D25" s="2" t="inlineStr"/>
      <c r="E25" s="2" t="inlineStr"/>
    </row>
    <row r="26">
      <c r="A26" s="3" t="inlineStr">
        <is>
          <t>Qualified Leads (Qtr)</t>
        </is>
      </c>
      <c r="B26" s="3">
        <f>Max Monthly Leads × Ramp% × Qualified% × 3</f>
        <v/>
      </c>
      <c r="C26" s="3" t="inlineStr"/>
      <c r="D26" s="3" t="inlineStr"/>
      <c r="E26" s="3" t="inlineStr">
        <is>
          <t>3 months per quarter</t>
        </is>
      </c>
    </row>
    <row r="27">
      <c r="A27" s="3" t="inlineStr">
        <is>
          <t>Ad Spend (Qtr)</t>
        </is>
      </c>
      <c r="B27" s="3">
        <f>Qualified PPC Leads × CPL</f>
        <v/>
      </c>
      <c r="C27" s="3" t="inlineStr"/>
      <c r="D27" s="3" t="inlineStr"/>
      <c r="E27" s="3" t="inlineStr">
        <is>
          <t>CPL is cost per QUALIFIED lead</t>
        </is>
      </c>
    </row>
    <row r="28">
      <c r="A28" s="3" t="inlineStr">
        <is>
          <t>Mgmt Fee (Qtr)</t>
        </is>
      </c>
      <c r="B28" s="3">
        <f>$5,500 ÷ 2 × 3 months</f>
        <v/>
      </c>
      <c r="C28" s="3" t="inlineStr"/>
      <c r="D28" s="3" t="inlineStr"/>
      <c r="E28" s="3" t="inlineStr">
        <is>
          <t>$2,750/location/month</t>
        </is>
      </c>
    </row>
    <row r="29">
      <c r="A29" s="3" t="inlineStr">
        <is>
          <t>Jobs (Qtr)</t>
        </is>
      </c>
      <c r="B29" s="3">
        <f>Total Qualified Leads × Closing Rate</f>
        <v/>
      </c>
      <c r="C29" s="3" t="inlineStr"/>
      <c r="D29" s="3" t="inlineStr"/>
      <c r="E29" s="3" t="inlineStr">
        <is>
          <t>50% close rate baseline</t>
        </is>
      </c>
    </row>
    <row r="30">
      <c r="A30" s="3" t="inlineStr">
        <is>
          <t>Revenue (Qtr)</t>
        </is>
      </c>
      <c r="B30" s="3">
        <f>Jobs × LTV per Job</f>
        <v/>
      </c>
      <c r="C30" s="3" t="inlineStr"/>
      <c r="D30" s="3" t="inlineStr"/>
      <c r="E30" s="3" t="inlineStr">
        <is>
          <t>Tucson $10,933 / Denver $6,100</t>
        </is>
      </c>
    </row>
    <row r="31">
      <c r="A31" s="3" t="inlineStr">
        <is>
          <t>ROI</t>
        </is>
      </c>
      <c r="B31" s="3">
        <f>Quarterly Revenue ÷ Quarterly Total Cost</f>
        <v/>
      </c>
      <c r="C31" s="3" t="inlineStr"/>
      <c r="D31" s="3" t="inlineStr"/>
      <c r="E31" s="3" t="inlineStr"/>
    </row>
    <row r="32">
      <c r="A32" s="3" t="inlineStr">
        <is>
          <t>Tucson LTV</t>
        </is>
      </c>
      <c r="B32" s="3">
        <f>$4,589 + (30% × $7,484) + (55% × $7,452)</f>
        <v/>
      </c>
      <c r="C32" s="3" t="inlineStr"/>
      <c r="D32" s="3" t="inlineStr">
        <is>
          <t>$10,933</t>
        </is>
      </c>
      <c r="E32" s="3" t="inlineStr"/>
    </row>
    <row r="33">
      <c r="A33" s="3" t="inlineStr">
        <is>
          <t>Denver LTV</t>
        </is>
      </c>
      <c r="B33" s="3">
        <f>$6,100 + $0 referral fee</f>
        <v/>
      </c>
      <c r="C33" s="3" t="inlineStr"/>
      <c r="D33" s="3" t="inlineStr">
        <is>
          <t>$6,100</t>
        </is>
      </c>
      <c r="E3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2026-02-05T17:57:41Z</dcterms:created>
  <dcterms:modified xsi:type="dcterms:W3CDTF">2026-02-05T17:57:41Z</dcterms:modified>
</cp:coreProperties>
</file>